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1" documentId="11_EF030869CE5E6E91E551E55E588396B6609ADD32" xr6:coauthVersionLast="47" xr6:coauthVersionMax="47" xr10:uidLastSave="{4189BB73-0F28-453B-9C44-119A2007F7C7}"/>
  <bookViews>
    <workbookView xWindow="0" yWindow="0" windowWidth="16384" windowHeight="8192" tabRatio="500" xr2:uid="{00000000-000D-0000-FFFF-FFFF00000000}"/>
  </bookViews>
  <sheets>
    <sheet name="Partner Types" sheetId="1" r:id="rId1"/>
    <sheet name="Tech Ecosystem" sheetId="2" r:id="rId2"/>
    <sheet name="Channel Reseller" sheetId="3" r:id="rId3"/>
    <sheet name="Referral" sheetId="4" r:id="rId4"/>
    <sheet name="Services SI" sheetId="5" r:id="rId5"/>
    <sheet name="Comparison Summary" sheetId="6" r:id="rId6"/>
    <sheet name="Revenue Model" sheetId="7" r:id="rId7"/>
    <sheet name="Post-Sale &amp; Expansion" sheetId="8" r:id="rId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8" l="1"/>
  <c r="C20" i="8" s="1"/>
  <c r="C13" i="8"/>
  <c r="C12" i="8"/>
  <c r="C11" i="8"/>
  <c r="E38" i="7"/>
  <c r="C42" i="7" s="1"/>
  <c r="D38" i="7"/>
  <c r="C38" i="7"/>
  <c r="G28" i="7"/>
  <c r="C16" i="7"/>
  <c r="C17" i="7" s="1"/>
  <c r="C15" i="7"/>
  <c r="G12" i="7"/>
  <c r="F7" i="7"/>
  <c r="G7" i="7" s="1"/>
  <c r="H7" i="7" s="1"/>
  <c r="C22" i="6"/>
  <c r="C23" i="6" s="1"/>
  <c r="C24" i="6" s="1"/>
  <c r="G15" i="6"/>
  <c r="F15" i="6"/>
  <c r="E15" i="6"/>
  <c r="D15" i="6"/>
  <c r="G11" i="6"/>
  <c r="F11" i="6"/>
  <c r="E11" i="6"/>
  <c r="D11" i="6"/>
  <c r="G9" i="6"/>
  <c r="F9" i="6"/>
  <c r="E9" i="6"/>
  <c r="D9" i="6"/>
  <c r="G8" i="6"/>
  <c r="F8" i="6"/>
  <c r="E8" i="6"/>
  <c r="D8" i="6"/>
  <c r="H49" i="5"/>
  <c r="E43" i="5"/>
  <c r="D43" i="5"/>
  <c r="C43" i="5"/>
  <c r="H28" i="5"/>
  <c r="C28" i="5"/>
  <c r="I27" i="5"/>
  <c r="D27" i="5"/>
  <c r="H26" i="5"/>
  <c r="C26" i="5"/>
  <c r="C18" i="5"/>
  <c r="I16" i="5"/>
  <c r="E11" i="5"/>
  <c r="D11" i="5"/>
  <c r="D32" i="5" s="1"/>
  <c r="C11" i="5"/>
  <c r="C32" i="5" s="1"/>
  <c r="H50" i="4"/>
  <c r="E44" i="4"/>
  <c r="D44" i="4"/>
  <c r="C44" i="4"/>
  <c r="H29" i="4"/>
  <c r="C29" i="4"/>
  <c r="I28" i="4"/>
  <c r="D28" i="4"/>
  <c r="H27" i="4"/>
  <c r="C27" i="4"/>
  <c r="C18" i="4"/>
  <c r="I16" i="4"/>
  <c r="E11" i="4"/>
  <c r="D11" i="4"/>
  <c r="D33" i="4" s="1"/>
  <c r="C11" i="4"/>
  <c r="C33" i="4" s="1"/>
  <c r="H50" i="3"/>
  <c r="E44" i="3"/>
  <c r="D44" i="3"/>
  <c r="C44" i="3"/>
  <c r="H29" i="3"/>
  <c r="C29" i="3"/>
  <c r="I28" i="3"/>
  <c r="D28" i="3"/>
  <c r="H27" i="3"/>
  <c r="C27" i="3"/>
  <c r="C18" i="3"/>
  <c r="I16" i="3"/>
  <c r="E11" i="3"/>
  <c r="D11" i="3"/>
  <c r="D33" i="3" s="1"/>
  <c r="C11" i="3"/>
  <c r="C33" i="3" s="1"/>
  <c r="H51" i="2"/>
  <c r="E45" i="2"/>
  <c r="D45" i="2"/>
  <c r="C45" i="2"/>
  <c r="H30" i="2"/>
  <c r="C30" i="2"/>
  <c r="I29" i="2"/>
  <c r="D29" i="2"/>
  <c r="H28" i="2"/>
  <c r="C28" i="2"/>
  <c r="C18" i="2"/>
  <c r="I16" i="2"/>
  <c r="E11" i="2"/>
  <c r="D11" i="2"/>
  <c r="D34" i="2" s="1"/>
  <c r="C11" i="2"/>
  <c r="C34" i="2" s="1"/>
  <c r="C35" i="2" l="1"/>
  <c r="D35" i="2"/>
  <c r="D16" i="6"/>
  <c r="E34" i="2"/>
  <c r="D10" i="6"/>
  <c r="C20" i="2"/>
  <c r="I18" i="2"/>
  <c r="D12" i="6"/>
  <c r="I30" i="2"/>
  <c r="C34" i="3"/>
  <c r="D34" i="3"/>
  <c r="E16" i="6"/>
  <c r="E33" i="3"/>
  <c r="E10" i="6"/>
  <c r="C20" i="3"/>
  <c r="I18" i="3"/>
  <c r="E12" i="6"/>
  <c r="I29" i="3"/>
  <c r="C34" i="4"/>
  <c r="D34" i="4"/>
  <c r="F16" i="6"/>
  <c r="E33" i="4"/>
  <c r="F10" i="6"/>
  <c r="C20" i="4"/>
  <c r="I18" i="4"/>
  <c r="F12" i="6"/>
  <c r="I29" i="4"/>
  <c r="C33" i="5"/>
  <c r="D33" i="5"/>
  <c r="G16" i="6"/>
  <c r="E32" i="5"/>
  <c r="G10" i="6"/>
  <c r="C20" i="5"/>
  <c r="I18" i="5"/>
  <c r="G12" i="6"/>
  <c r="I28" i="5"/>
  <c r="C18" i="8"/>
  <c r="E39" i="7"/>
  <c r="E40" i="7" s="1"/>
  <c r="D39" i="7"/>
  <c r="D40" i="7" s="1"/>
  <c r="C39" i="7"/>
  <c r="C40" i="7" s="1"/>
  <c r="C21" i="7"/>
  <c r="C15" i="8"/>
  <c r="C33" i="8"/>
  <c r="C31" i="8"/>
  <c r="G27" i="7" l="1"/>
  <c r="H28" i="7" s="1"/>
  <c r="C22" i="7"/>
  <c r="C23" i="7" s="1"/>
  <c r="C32" i="8"/>
  <c r="C30" i="8"/>
  <c r="C35" i="8" s="1"/>
  <c r="C34" i="5"/>
  <c r="D34" i="5"/>
  <c r="E34" i="5"/>
  <c r="G17" i="6" s="1"/>
  <c r="E33" i="5"/>
  <c r="E35" i="5" s="1"/>
  <c r="E44" i="5" s="1"/>
  <c r="E45" i="5" s="1"/>
  <c r="D35" i="5"/>
  <c r="D44" i="5" s="1"/>
  <c r="D45" i="5" s="1"/>
  <c r="C35" i="5"/>
  <c r="C44" i="5" s="1"/>
  <c r="C45" i="5" s="1"/>
  <c r="C35" i="4"/>
  <c r="D35" i="4"/>
  <c r="E35" i="4"/>
  <c r="F17" i="6" s="1"/>
  <c r="E34" i="4"/>
  <c r="E36" i="4" s="1"/>
  <c r="E45" i="4" s="1"/>
  <c r="E46" i="4" s="1"/>
  <c r="D36" i="4"/>
  <c r="D45" i="4" s="1"/>
  <c r="D46" i="4" s="1"/>
  <c r="C36" i="4"/>
  <c r="C45" i="4" s="1"/>
  <c r="C46" i="4" s="1"/>
  <c r="C35" i="3"/>
  <c r="D35" i="3"/>
  <c r="E35" i="3"/>
  <c r="E17" i="6" s="1"/>
  <c r="E34" i="3"/>
  <c r="E36" i="3" s="1"/>
  <c r="E45" i="3" s="1"/>
  <c r="E46" i="3" s="1"/>
  <c r="D36" i="3"/>
  <c r="D45" i="3" s="1"/>
  <c r="D46" i="3" s="1"/>
  <c r="C36" i="3"/>
  <c r="C45" i="3" s="1"/>
  <c r="C46" i="3" s="1"/>
  <c r="C36" i="2"/>
  <c r="D36" i="2"/>
  <c r="E36" i="2"/>
  <c r="D17" i="6" s="1"/>
  <c r="D19" i="6" s="1"/>
  <c r="E35" i="2"/>
  <c r="E37" i="2" s="1"/>
  <c r="E46" i="2" s="1"/>
  <c r="E47" i="2" s="1"/>
  <c r="D18" i="6"/>
  <c r="D37" i="2"/>
  <c r="D46" i="2" s="1"/>
  <c r="D47" i="2" s="1"/>
  <c r="C37" i="2"/>
  <c r="C46" i="2" s="1"/>
  <c r="C47" i="2" s="1"/>
  <c r="C54" i="2" l="1"/>
  <c r="C51" i="2"/>
  <c r="D54" i="2"/>
  <c r="D51" i="2"/>
  <c r="D52" i="2" s="1"/>
  <c r="D53" i="2" s="1"/>
  <c r="E54" i="2"/>
  <c r="D25" i="6" s="1"/>
  <c r="E51" i="2"/>
  <c r="C53" i="3"/>
  <c r="C50" i="3"/>
  <c r="D53" i="3"/>
  <c r="D50" i="3"/>
  <c r="D51" i="3" s="1"/>
  <c r="D52" i="3" s="1"/>
  <c r="E53" i="3"/>
  <c r="E25" i="6" s="1"/>
  <c r="E50" i="3"/>
  <c r="C53" i="4"/>
  <c r="C50" i="4"/>
  <c r="D53" i="4"/>
  <c r="D50" i="4"/>
  <c r="D51" i="4" s="1"/>
  <c r="D52" i="4" s="1"/>
  <c r="E53" i="4"/>
  <c r="F25" i="6" s="1"/>
  <c r="E50" i="4"/>
  <c r="C52" i="5"/>
  <c r="C49" i="5"/>
  <c r="D52" i="5"/>
  <c r="D49" i="5"/>
  <c r="D50" i="5" s="1"/>
  <c r="D51" i="5" s="1"/>
  <c r="E52" i="5"/>
  <c r="G25" i="6" s="1"/>
  <c r="E49" i="5"/>
  <c r="G22" i="6" l="1"/>
  <c r="E50" i="5"/>
  <c r="I49" i="5"/>
  <c r="C50" i="5"/>
  <c r="C51" i="5" s="1"/>
  <c r="F22" i="6"/>
  <c r="E51" i="4"/>
  <c r="I50" i="4"/>
  <c r="C51" i="4"/>
  <c r="C52" i="4" s="1"/>
  <c r="E22" i="6"/>
  <c r="E51" i="3"/>
  <c r="I50" i="3"/>
  <c r="C51" i="3"/>
  <c r="C52" i="3" s="1"/>
  <c r="D22" i="6"/>
  <c r="E52" i="2"/>
  <c r="I51" i="2"/>
  <c r="C52" i="2"/>
  <c r="C53" i="2" s="1"/>
  <c r="D23" i="6" l="1"/>
  <c r="E53" i="2"/>
  <c r="D24" i="6" s="1"/>
  <c r="E23" i="6"/>
  <c r="E52" i="3"/>
  <c r="E24" i="6" s="1"/>
  <c r="F23" i="6"/>
  <c r="E52" i="4"/>
  <c r="F24" i="6" s="1"/>
  <c r="G23" i="6"/>
  <c r="E51" i="5"/>
  <c r="G24" i="6" s="1"/>
</calcChain>
</file>

<file path=xl/sharedStrings.xml><?xml version="1.0" encoding="utf-8"?>
<sst xmlns="http://schemas.openxmlformats.org/spreadsheetml/2006/main" count="632" uniqueCount="337">
  <si>
    <t>Partner Network — Type Definitions &amp; GTM Impact</t>
  </si>
  <si>
    <t>Generic B2B SaaS Template</t>
  </si>
  <si>
    <t>Technology / Ecosystem</t>
  </si>
  <si>
    <t>Channel / Reseller</t>
  </si>
  <si>
    <t>Referral Partners</t>
  </si>
  <si>
    <t>Services / Implementation</t>
  </si>
  <si>
    <t>Description</t>
  </si>
  <si>
    <t>Co-sell with complementary platforms. Joint solution positioning.</t>
  </si>
  <si>
    <t>Partners sell on your behalf under their own or co-branded motion.</t>
  </si>
  <si>
    <t>Consultants, advisors, former buyers who make warm introductions. Fee per closed deal.</t>
  </si>
  <si>
    <t>SI firms, consultancies, managed service providers who embed your product into client engagements.</t>
  </si>
  <si>
    <t>How Leads Enter the Funnel</t>
  </si>
  <si>
    <t>Enters at SAL — pre-qualified via partner co-sell motion. Skips Lead/MQL.</t>
  </si>
  <si>
    <t>Partner manages full funnel (Lead to Close) in their market. You see pipeline at Opp stage.</t>
  </si>
  <si>
    <t>Enters at SQL — warm intro from trusted source. Skips Lead/MQL/SAL.</t>
  </si>
  <si>
    <t>Enters at Opportunity — SI has already scoped the project. Highest entry point.</t>
  </si>
  <si>
    <t>Why Conversion Differs from Direct</t>
  </si>
  <si>
    <t>Partner trust transfers. Buyer has existing relationship with partner platform. Higher SAL&gt;SQL and win rate.</t>
  </si>
  <si>
    <t>Partner has local/vertical expertise and existing relationships. Win rate slightly above direct. Lower product depth.</t>
  </si>
  <si>
    <t>Warmest intro in the model. Referrer has direct credibility with buyer. Highest win rate after SI. Shortest cycle.</t>
  </si>
  <si>
    <t>Buyer has already decided to act. SI is recommending the tool stack. Win rate 50%+ but volume is lowest.</t>
  </si>
  <si>
    <t>ASP Impact</t>
  </si>
  <si>
    <t>Neutral to positive. Joint solutions can command premium. List ASP holds or increases 5-10%.</t>
  </si>
  <si>
    <t>Lower net ASP. Partner takes 20-30% margin. Net to you: 70-80% of list.</t>
  </si>
  <si>
    <t>ASP holds at direct levels. Referral fee is a fixed % (10-15%), not a margin cut.</t>
  </si>
  <si>
    <t>Highest ASP. SI projects are larger scope. ASP 1.2-1.5x direct list price.</t>
  </si>
  <si>
    <t>Cost Structure</t>
  </si>
  <si>
    <t>Co-marketing spend, partner engineering (integrations), partner manager headcount. Low marginal cost per deal.</t>
  </si>
  <si>
    <t>Margin share (20-30% of ACV), partner enablement, certification program. Highest per-deal cost but no S&amp;M headcount.</t>
  </si>
  <si>
    <t>Referral fee (10-15% of first-year ACV). Lowest cost structure. No enablement overhead.</t>
  </si>
  <si>
    <t>Rev share on implementation (15-20%), joint marketing, technical enablement. Moderate cost, large deals.</t>
  </si>
  <si>
    <t>Ramp Time</t>
  </si>
  <si>
    <t>6-12 months to first co-sell deal. Integration build + joint GTM planning.</t>
  </si>
  <si>
    <t>9-18 months to productive partner. Requires training, certification, deal support.</t>
  </si>
  <si>
    <t>1-3 months. Fastest to activate. Low friction.</t>
  </si>
  <si>
    <t>6-12 months. Requires SI to learn the platform and build a practice around it.</t>
  </si>
  <si>
    <t>Volume Profile (Yr 3 steady state)</t>
  </si>
  <si>
    <t>Medium volume. 15-25 deals/yr per active tech partner.</t>
  </si>
  <si>
    <t>High volume potential. 10-40 deals/yr per productive channel partner.</t>
  </si>
  <si>
    <t>Low per-referrer but scalable. 2-5 deals/yr per referrer across many referrers.</t>
  </si>
  <si>
    <t>Low volume, high value. 5-12 deals/yr per SI partner.</t>
  </si>
  <si>
    <t>Key Risk</t>
  </si>
  <si>
    <t>Integration maintenance. Partner priorities shift. Co-sell requires ongoing coordination.</t>
  </si>
  <si>
    <t>Channel conflict with direct sales. Partner may not position product well. Margin compression.</t>
  </si>
  <si>
    <t>Unpredictable volume. No contractual commitment. Referrers go cold.</t>
  </si>
  <si>
    <t>Dependency on SI pipeline. Long ramp. SI may substitute competitor if relationship weakens.</t>
  </si>
  <si>
    <t>ELG / Nearbound Alignment</t>
  </si>
  <si>
    <t>"Nearbound" motion — leveraging partner ecosystem data and relationships to warm up accounts in your ICP.</t>
  </si>
  <si>
    <t>Traditional channel — effective when product is packageable and partner has vertical expertise.</t>
  </si>
  <si>
    <t>Lowest-friction ecosystem play. Ecosystem-Led Growth starts here for most early-stage companies.</t>
  </si>
  <si>
    <t>"Embed" motion — deepest integration into partner delivery model. Highest lock-in, slowest to build.</t>
  </si>
  <si>
    <t>Technology / Ecosystem Partner Model</t>
  </si>
  <si>
    <t>Co-sell with complementary platforms — Nearbound motion (ELG framework)</t>
  </si>
  <si>
    <t xml:space="preserve">  PARTNER PROGRAM ASSUMPTIONS  (blue = editable)</t>
  </si>
  <si>
    <t>Metric</t>
  </si>
  <si>
    <t>Year 1</t>
  </si>
  <si>
    <t>Year 2</t>
  </si>
  <si>
    <t>Year 3</t>
  </si>
  <si>
    <t>Notes</t>
  </si>
  <si>
    <t>Active Partners</t>
  </si>
  <si>
    <t>Y1: 2 integration partners. Y3: 7 active co-sell relationships.</t>
  </si>
  <si>
    <t>Deals per Partner per Year</t>
  </si>
  <si>
    <t>Ramps as joint GTM matures</t>
  </si>
  <si>
    <t>Ramp Factor (% of full productivity)</t>
  </si>
  <si>
    <t>Y1 is integration build + first co-sell attempts</t>
  </si>
  <si>
    <t>Effective Partner-Sourced Deals</t>
  </si>
  <si>
    <t>Partners x Deals/Partner x Ramp</t>
  </si>
  <si>
    <t xml:space="preserve">  PARTNER FUNNEL METRICS  (blue = editable)</t>
  </si>
  <si>
    <t>Direct Comparison</t>
  </si>
  <si>
    <t>Delta</t>
  </si>
  <si>
    <t>Funnel Entry Point</t>
  </si>
  <si>
    <t>SAL</t>
  </si>
  <si>
    <t>Partner introduces at SAL.</t>
  </si>
  <si>
    <t>List / Entry ASP</t>
  </si>
  <si>
    <t>Joint solution commands ~5% premium over direct</t>
  </si>
  <si>
    <t>Rev Share to Partner</t>
  </si>
  <si>
    <t>15% rev share for co-sell sourced deals</t>
  </si>
  <si>
    <t>Net ASP (after partner cost)</t>
  </si>
  <si>
    <t>What you actually book</t>
  </si>
  <si>
    <t>Additional Stage Erosion (Opp&gt;Close)</t>
  </si>
  <si>
    <t>Effective Closed ASP (net of all costs)</t>
  </si>
  <si>
    <t xml:space="preserve">  CONVERSION &amp; VELOCITY</t>
  </si>
  <si>
    <t>Stage</t>
  </si>
  <si>
    <t>Conversion Rate</t>
  </si>
  <si>
    <t>Days in Stage</t>
  </si>
  <si>
    <t>Direct Conv.</t>
  </si>
  <si>
    <t>Direct Days</t>
  </si>
  <si>
    <t>SAL &gt; SQL</t>
  </si>
  <si>
    <t>Partner trust accelerates qualification</t>
  </si>
  <si>
    <t>SQL &gt; Opportunity</t>
  </si>
  <si>
    <t>Warm intro but still needs your discovery</t>
  </si>
  <si>
    <t>Opportunity &gt; Closed-Won</t>
  </si>
  <si>
    <t>Co-sell support from partner</t>
  </si>
  <si>
    <t>Cumulative Conversion (Entry &gt; Close)</t>
  </si>
  <si>
    <t>Total Sales Cycle (days, entry &gt; close)</t>
  </si>
  <si>
    <t>Win Rate (Opp &gt; Close)</t>
  </si>
  <si>
    <t xml:space="preserve">  3-YEAR PARTNER REVENUE MODEL</t>
  </si>
  <si>
    <t>Partner-Sourced Deals (Closed-Won)</t>
  </si>
  <si>
    <t>Gross Bookings (at List ASP)</t>
  </si>
  <si>
    <t>Net Revenue (after partner cost + erosion)</t>
  </si>
  <si>
    <t>After partner margin/fee + stage erosion</t>
  </si>
  <si>
    <t>Partner Cost (Rev Share to Partner)</t>
  </si>
  <si>
    <t xml:space="preserve">  PARTNER CHANNEL CAC  (blue = editable)</t>
  </si>
  <si>
    <t>Cost Category</t>
  </si>
  <si>
    <t>Partner Manager Compensation</t>
  </si>
  <si>
    <t>Y1: founder-led. Y2: dedicated partner manager</t>
  </si>
  <si>
    <t>Integration Engineering &amp; Enablement</t>
  </si>
  <si>
    <t>API integrations, joint demo environments</t>
  </si>
  <si>
    <t>Co-Marketing &amp; Partner Events</t>
  </si>
  <si>
    <t>Partner Portal / PRM Tools</t>
  </si>
  <si>
    <t>Total Fixed Partner Costs</t>
  </si>
  <si>
    <t>Spend regardless of deal volume</t>
  </si>
  <si>
    <t>Variable Partner Cost (Rev Share to Partner)</t>
  </si>
  <si>
    <t>Per-deal cost from margin/fee</t>
  </si>
  <si>
    <t>Total All-In Partner Channel Cost</t>
  </si>
  <si>
    <t xml:space="preserve">  UNIT ECONOMICS — THIS PARTNER TYPE</t>
  </si>
  <si>
    <t>Direct CAC</t>
  </si>
  <si>
    <t>Partner Channel CAC (all-in / deal)</t>
  </si>
  <si>
    <t>CAC as % of Net ASP</t>
  </si>
  <si>
    <t>Target: &lt;40% midmarket SaaS</t>
  </si>
  <si>
    <t>CAC Payback (months)</t>
  </si>
  <si>
    <t>Target: &lt;18mo. Best: &lt;12mo</t>
  </si>
  <si>
    <t>Revenue per $1 Partner Spend</t>
  </si>
  <si>
    <t>Higher = more efficient</t>
  </si>
  <si>
    <t xml:space="preserve">  KEY RISKS &amp; MITIGATIONS</t>
  </si>
  <si>
    <t>Risk</t>
  </si>
  <si>
    <t>Impact</t>
  </si>
  <si>
    <t>Likelihood</t>
  </si>
  <si>
    <t>Mitigation</t>
  </si>
  <si>
    <t>Integration maintenance burden</t>
  </si>
  <si>
    <t>High</t>
  </si>
  <si>
    <t>Medium</t>
  </si>
  <si>
    <t>Dedicated integration eng from Y2. Version-locked APIs.</t>
  </si>
  <si>
    <t>Partner priority shift</t>
  </si>
  <si>
    <t>Multi-partner strategy. No &gt;30% revenue from single partner.</t>
  </si>
  <si>
    <t>Co-sell coordination overhead</t>
  </si>
  <si>
    <t>Clear deal registration process. Shared CRM visibility.</t>
  </si>
  <si>
    <t>Channel / Reseller Partner Model</t>
  </si>
  <si>
    <t>Partners sell on your behalf in their market — Traditional channel with margin share</t>
  </si>
  <si>
    <t>Y1: 1 pilot reseller. Y3: 5 certified channel partners.</t>
  </si>
  <si>
    <t>Resellers own full cycle. Volume ramps with training.</t>
  </si>
  <si>
    <t>Slowest ramp — requires certification and deal support</t>
  </si>
  <si>
    <t>Opportunity (partner-managed)</t>
  </si>
  <si>
    <t>Partner introduces at Opportunity (partner-managed).</t>
  </si>
  <si>
    <t>List ASP same as direct — partner sells at market rate</t>
  </si>
  <si>
    <t>Channel Margin (% of ACV)</t>
  </si>
  <si>
    <t>25% margin to channel partner. Industry standard 20-30%.</t>
  </si>
  <si>
    <t>Partner-Qualified &gt; Opportunity</t>
  </si>
  <si>
    <t>Partner qualifies in their process, enters at Opp</t>
  </si>
  <si>
    <t>Partner closes. Slightly above direct — local relationship.</t>
  </si>
  <si>
    <t>Partner Cost (Channel Margin (% of ACV))</t>
  </si>
  <si>
    <t>Y1: founder-led. Y3: 2 channel managers</t>
  </si>
  <si>
    <t>Partner Certification &amp; Training</t>
  </si>
  <si>
    <t>Onboarding, sales playbooks, demo environments</t>
  </si>
  <si>
    <t>Variable Partner Cost (Channel Margin (% of ACV))</t>
  </si>
  <si>
    <t>Channel conflict with direct sales</t>
  </si>
  <si>
    <t>Territory/account rules. Deal registration with 90-day lock.</t>
  </si>
  <si>
    <t>Partner mispositions the product</t>
  </si>
  <si>
    <t>Mandatory certification. Joint calls on first 5 deals.</t>
  </si>
  <si>
    <t>Margin compression</t>
  </si>
  <si>
    <t>Offset by zero S&amp;M headcount per deal. Model net CAC.</t>
  </si>
  <si>
    <t>Slow partner productivity ramp</t>
  </si>
  <si>
    <t>Pilot with 1 partner before scaling. Kill non-performers at 12mo.</t>
  </si>
  <si>
    <t>Referral Partner Model</t>
  </si>
  <si>
    <t>Advisors, consultants, former buyers making warm introductions — Lowest friction ELG entry point</t>
  </si>
  <si>
    <t>Y1: advisory network + early customers. Y3: 30 active referrers.</t>
  </si>
  <si>
    <t>Low per-person but scales with referrer count</t>
  </si>
  <si>
    <t>Fastest ramp — warm intros start within weeks</t>
  </si>
  <si>
    <t>SQL</t>
  </si>
  <si>
    <t>Partner introduces at SQL.</t>
  </si>
  <si>
    <t>Same as direct — referral doesn't affect pricing</t>
  </si>
  <si>
    <t>Referral Fee (% of 1st Year ACV)</t>
  </si>
  <si>
    <t>10% of first-year ACV. Paid on close. Industry 10-15%.</t>
  </si>
  <si>
    <t>Referred buyer is pre-disposed. Less convincing needed.</t>
  </si>
  <si>
    <t>Highest win rate — referrer credibility carries through close.</t>
  </si>
  <si>
    <t>Partner Cost (Referral Fee (% of 1st Year ACV))</t>
  </si>
  <si>
    <t>Y1-2: founder-managed. Y3: part-time coordinator.</t>
  </si>
  <si>
    <t>Referral Program Setup &amp; Materials</t>
  </si>
  <si>
    <t>One-pagers, referral portal, tracking system</t>
  </si>
  <si>
    <t>Variable Partner Cost (Referral Fee (% of 1st Year ACV))</t>
  </si>
  <si>
    <t>Unpredictable volume</t>
  </si>
  <si>
    <t>Never plan &gt;20% of pipeline from referrals. Treat as upside.</t>
  </si>
  <si>
    <t>Referrer fatigue / disengagement</t>
  </si>
  <si>
    <t>Quarterly check-ins. Share win stories. Increase fee for repeat referrers.</t>
  </si>
  <si>
    <t>Attribution disputes</t>
  </si>
  <si>
    <t>Low</t>
  </si>
  <si>
    <t>Clear tracking from day 1. 90-day attribution window.</t>
  </si>
  <si>
    <t>Services / Implementation Partner Model</t>
  </si>
  <si>
    <t>SI firms and consultancies embedding your product into client engagements — Deepest ecosystem integration</t>
  </si>
  <si>
    <t>Y1: 1 boutique SI. Y3: 4 including 1-2 mid-tier firms.</t>
  </si>
  <si>
    <t>SI pipeline is lumpy — large projects with long cycles</t>
  </si>
  <si>
    <t>SI must build practice around product. Slow start, strong finish.</t>
  </si>
  <si>
    <t>Opportunity</t>
  </si>
  <si>
    <t>Partner introduces at Opportunity.</t>
  </si>
  <si>
    <t>SI projects are larger scope. 1.3-1.5x direct ASP.</t>
  </si>
  <si>
    <t>Implementation Rev Share</t>
  </si>
  <si>
    <t>18% rev share on software. SI keeps services revenue separately.</t>
  </si>
  <si>
    <t>SI-Qualified Opp &gt; Closed-Won</t>
  </si>
  <si>
    <t>Highest win rate — SI has pre-sold and scoped.</t>
  </si>
  <si>
    <t>Partner Cost (Implementation Rev Share)</t>
  </si>
  <si>
    <t>Y1: founder-led. Y2: dedicated SI partner manager.</t>
  </si>
  <si>
    <t>SI Enablement &amp; Technical Training</t>
  </si>
  <si>
    <t>Deep technical training, certification, sandbox environments</t>
  </si>
  <si>
    <t>Variable Partner Cost (Implementation Rev Share)</t>
  </si>
  <si>
    <t>SI substitutes competitor</t>
  </si>
  <si>
    <t>Critical</t>
  </si>
  <si>
    <t>Multi-SI strategy. Contractual commitment tiers.</t>
  </si>
  <si>
    <t>Dependency on SI pipeline</t>
  </si>
  <si>
    <t>SI deals are additive, never primary pipeline. Max 25% of total.</t>
  </si>
  <si>
    <t>Long ramp and high enablement cost</t>
  </si>
  <si>
    <t>Pilot with 1 boutique SI before onboarding mid-tier firms.</t>
  </si>
  <si>
    <t>Implementation quality risk</t>
  </si>
  <si>
    <t>Certification required. Joint delivery on first 3 engagements.</t>
  </si>
  <si>
    <t>Partner Channel Comparison — 3-Year Summary</t>
  </si>
  <si>
    <t>All figures reference editable inputs on individual partner tabs</t>
  </si>
  <si>
    <t>Direct (baseline)</t>
  </si>
  <si>
    <t>Tech / Ecosystem</t>
  </si>
  <si>
    <t>Referral</t>
  </si>
  <si>
    <t>Services / SI</t>
  </si>
  <si>
    <t xml:space="preserve">  FUNNEL CHARACTERISTICS</t>
  </si>
  <si>
    <t>Entry Point</t>
  </si>
  <si>
    <t>Lead</t>
  </si>
  <si>
    <t>Net ASP</t>
  </si>
  <si>
    <t>Partner Cost %</t>
  </si>
  <si>
    <t>—</t>
  </si>
  <si>
    <t xml:space="preserve">  YEAR 3 VOLUME &amp; REVENUE (steady state)</t>
  </si>
  <si>
    <t>Y3 Closed-Won Deals</t>
  </si>
  <si>
    <t>Y3 Net Revenue</t>
  </si>
  <si>
    <t>TOTAL Partner Deals (Y3)</t>
  </si>
  <si>
    <t>TOTAL Partner Net Revenue (Y3)</t>
  </si>
  <si>
    <t xml:space="preserve">  YEAR 3 UNIT ECONOMICS COMPARISON</t>
  </si>
  <si>
    <t>Partner CAC (Y3, all-in / deal)</t>
  </si>
  <si>
    <t xml:space="preserve">  STRATEGIC FIT</t>
  </si>
  <si>
    <t>Time to First Deal</t>
  </si>
  <si>
    <t>6-12 months</t>
  </si>
  <si>
    <t>9-18 months</t>
  </si>
  <si>
    <t>1-3 months</t>
  </si>
  <si>
    <t>Volume Potential (Y3)</t>
  </si>
  <si>
    <t>Medium (15-25/partner)</t>
  </si>
  <si>
    <t>High (10-40/partner)</t>
  </si>
  <si>
    <t>Low (2-5/referrer)</t>
  </si>
  <si>
    <t>Low (5-12/partner)</t>
  </si>
  <si>
    <t>Baseline</t>
  </si>
  <si>
    <t>Positive (+5-10%)</t>
  </si>
  <si>
    <t>Neutral (margin drag)</t>
  </si>
  <si>
    <t>Neutral</t>
  </si>
  <si>
    <t>Positive (+30-50%)</t>
  </si>
  <si>
    <t>ELG Readiness (start here?)</t>
  </si>
  <si>
    <t>Phase 2</t>
  </si>
  <si>
    <t>Phase 3</t>
  </si>
  <si>
    <t>Phase 1 — START HERE</t>
  </si>
  <si>
    <t>Phase 2-3</t>
  </si>
  <si>
    <t>Recommended Priority</t>
  </si>
  <si>
    <t>2nd</t>
  </si>
  <si>
    <t>3rd</t>
  </si>
  <si>
    <t>1st</t>
  </si>
  <si>
    <t>2nd (if right SI exists)</t>
  </si>
  <si>
    <t>Sales Stage Metrics Calculator</t>
  </si>
  <si>
    <t>Direct Baseline — Generic B2B SaaS</t>
  </si>
  <si>
    <t>Lead / Prospect</t>
  </si>
  <si>
    <t>MQL</t>
  </si>
  <si>
    <t>Closed-Won</t>
  </si>
  <si>
    <t xml:space="preserve">  VALUE, TIME &amp; CONVERSION INPUTS  (blue = editable)</t>
  </si>
  <si>
    <t>Discount / Erosion Rate (per stage)</t>
  </si>
  <si>
    <t>Velocity (Avg Days in Stage)</t>
  </si>
  <si>
    <t>Conversion Rate (Stage &gt; Next)</t>
  </si>
  <si>
    <t>Win Rate (Opp &gt; Closed-Won)</t>
  </si>
  <si>
    <t xml:space="preserve">  CALCULATED METRICS</t>
  </si>
  <si>
    <t>Total Sales Cycle (Lead &gt; Close, Days)</t>
  </si>
  <si>
    <t>Cumulative Conversion (Lead &gt; Close)</t>
  </si>
  <si>
    <t>Leads Needed per Closed Deal</t>
  </si>
  <si>
    <t xml:space="preserve">  REVENUE TARGET SCENARIO  (blue = editable)</t>
  </si>
  <si>
    <t>Annual Revenue Target</t>
  </si>
  <si>
    <t>Closed-Won Deals Needed</t>
  </si>
  <si>
    <t>Leads Needed</t>
  </si>
  <si>
    <t>Monthly Lead Generation Required</t>
  </si>
  <si>
    <t xml:space="preserve">  IMPACT ANALYSIS — Revenue lift from +5 point improvement</t>
  </si>
  <si>
    <t>Current</t>
  </si>
  <si>
    <t>Improved</t>
  </si>
  <si>
    <t>New Revenue</t>
  </si>
  <si>
    <t>Lift</t>
  </si>
  <si>
    <t>+5 pts Win Rate</t>
  </si>
  <si>
    <t xml:space="preserve">  DIRECT S&amp;M COST SUMMARY  (blue = editable)</t>
  </si>
  <si>
    <t>Total S&amp;M Spend</t>
  </si>
  <si>
    <t>All-in: people + tools + marketing + partner fees</t>
  </si>
  <si>
    <t>Closed-Won Deals</t>
  </si>
  <si>
    <t xml:space="preserve">  DIRECT CAC</t>
  </si>
  <si>
    <t>Benchmark</t>
  </si>
  <si>
    <t>CAC (per deal)</t>
  </si>
  <si>
    <t>CAC as % of First-Year ACV</t>
  </si>
  <si>
    <t>Y3 Direct CAC (reference for partner tabs)</t>
  </si>
  <si>
    <t>Post-Sale &amp; Expansion Model (Right Side of Bowtie)</t>
  </si>
  <si>
    <t>Onboarding &gt; Adoption &gt; Renewal &gt; Expansion</t>
  </si>
  <si>
    <t>Onboarding</t>
  </si>
  <si>
    <t>First Value</t>
  </si>
  <si>
    <t>Adopted</t>
  </si>
  <si>
    <t>Renewal</t>
  </si>
  <si>
    <t>Expansion</t>
  </si>
  <si>
    <t xml:space="preserve">  POST-SALE INPUTS  (blue = editable)</t>
  </si>
  <si>
    <t>Time in Stage (days)</t>
  </si>
  <si>
    <t>Stage Success Rate</t>
  </si>
  <si>
    <t xml:space="preserve">  RETENTION &amp; EXPANSION METRICS</t>
  </si>
  <si>
    <t>Time to First Value (TTFV) in Days</t>
  </si>
  <si>
    <t>Onboarding + First Value combined</t>
  </si>
  <si>
    <t>Gross Retention Rate (GRR)</t>
  </si>
  <si>
    <t>Probability customer reaches renewal and renews</t>
  </si>
  <si>
    <t>Logo Retention Rate</t>
  </si>
  <si>
    <t>Simple renewal rate at contract decision point</t>
  </si>
  <si>
    <t>Expansion Attach Rate</t>
  </si>
  <si>
    <t>Net Revenue Retention (NRR)</t>
  </si>
  <si>
    <t>GRR + expansion revenue contribution</t>
  </si>
  <si>
    <t xml:space="preserve">  EXPANSION REVENUE MODEL  (blue = editable)</t>
  </si>
  <si>
    <t>Initial Contract Value (from left side)</t>
  </si>
  <si>
    <t>Avg Expansion Deal Value [PLACEHOLDER]</t>
  </si>
  <si>
    <t>Expansion Revenue per Customer</t>
  </si>
  <si>
    <t xml:space="preserve">  EXPANSION LANES  [PLACEHOLDER VALUES — TBD PENDING PRICING]</t>
  </si>
  <si>
    <t>Avg Deal Size</t>
  </si>
  <si>
    <t>Attach Rate</t>
  </si>
  <si>
    <t>Trigger Signal</t>
  </si>
  <si>
    <t>Typical Timing</t>
  </si>
  <si>
    <t>Additional Use Cases / Modules</t>
  </si>
  <si>
    <t>Customer completes first use case successfully; mentions adjacent problems</t>
  </si>
  <si>
    <t>Month 4-6 post-onboarding</t>
  </si>
  <si>
    <t>Deeper Integration</t>
  </si>
  <si>
    <t>Data quality issues surface; customer asks about connecting additional sources</t>
  </si>
  <si>
    <t>Month 3-4 post-first-value</t>
  </si>
  <si>
    <t>Managed Services Layer</t>
  </si>
  <si>
    <t>Customer lacks internal team; support ticket volume increases</t>
  </si>
  <si>
    <t>Month 6-12 post-adoption</t>
  </si>
  <si>
    <t xml:space="preserve">  CUSTOMER LIFETIME VALUE</t>
  </si>
  <si>
    <t>Expected Customer Lifetime (years)</t>
  </si>
  <si>
    <t>Year 1 Revenue (initial contract)</t>
  </si>
  <si>
    <t>Year 1 Expansion Revenue</t>
  </si>
  <si>
    <t>Annual Renewal Revenue (Yr 2+)</t>
  </si>
  <si>
    <t>Annual Expansion Revenue (Yr 2+)</t>
  </si>
  <si>
    <t>Customer Lifetime Value [PLACEHOLDER]</t>
  </si>
  <si>
    <t>Derived from placeholder expansion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</si>
</sst>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\$#,##0"/>
    <numFmt numFmtId="167" formatCode="0.0"/>
    <numFmt numFmtId="168" formatCode="0.000%"/>
  </numFmts>
  <fonts count="11">
    <font>
      <sz val="11"/>
      <color theme="1"/>
      <name val="Calibri"/>
      <family val="2"/>
      <charset val="1"/>
    </font>
    <font>
      <b/>
      <sz val="14"/>
      <color rgb="FF2C3E50"/>
      <name val="Arial"/>
      <charset val="1"/>
    </font>
    <font>
      <sz val="11"/>
      <color rgb="FF666666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9"/>
      <name val="Arial"/>
      <charset val="1"/>
    </font>
    <font>
      <b/>
      <sz val="10"/>
      <color rgb="FF2C3E50"/>
      <name val="Arial"/>
      <charset val="1"/>
    </font>
    <font>
      <sz val="10"/>
      <color rgb="FF0000FF"/>
      <name val="Arial"/>
      <charset val="1"/>
    </font>
    <font>
      <i/>
      <sz val="9"/>
      <color rgb="FF888888"/>
      <name val="Arial"/>
      <charset val="1"/>
    </font>
    <font>
      <sz val="10"/>
      <color rgb="FF000000"/>
      <name val="Arial"/>
      <charset val="1"/>
    </font>
    <font>
      <sz val="10"/>
      <color rgb="FF008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F0F4F8"/>
        <bgColor rgb="FFE8F0FE"/>
      </patternFill>
    </fill>
    <fill>
      <patternFill patternType="solid">
        <fgColor rgb="FFE8F0FE"/>
        <bgColor rgb="FFF0F4F8"/>
      </patternFill>
    </fill>
    <fill>
      <patternFill patternType="solid">
        <fgColor rgb="FFFFF8E1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vertical="top" wrapText="1"/>
    </xf>
    <xf numFmtId="0" fontId="6" fillId="3" borderId="0" xfId="0" applyFont="1" applyFill="1" applyAlignment="1"/>
    <xf numFmtId="3" fontId="7" fillId="4" borderId="0" xfId="0" applyNumberFormat="1" applyFont="1" applyFill="1" applyAlignment="1"/>
    <xf numFmtId="0" fontId="8" fillId="0" borderId="0" xfId="0" applyFont="1" applyAlignment="1"/>
    <xf numFmtId="164" fontId="7" fillId="4" borderId="0" xfId="0" applyNumberFormat="1" applyFont="1" applyFill="1" applyAlignment="1"/>
    <xf numFmtId="165" fontId="7" fillId="4" borderId="0" xfId="0" applyNumberFormat="1" applyFont="1" applyFill="1" applyAlignment="1"/>
    <xf numFmtId="3" fontId="9" fillId="0" borderId="0" xfId="0" applyNumberFormat="1" applyFont="1" applyAlignment="1"/>
    <xf numFmtId="166" fontId="7" fillId="4" borderId="0" xfId="0" applyNumberFormat="1" applyFont="1" applyFill="1" applyAlignment="1"/>
    <xf numFmtId="166" fontId="9" fillId="5" borderId="0" xfId="0" applyNumberFormat="1" applyFont="1" applyFill="1" applyAlignment="1"/>
    <xf numFmtId="166" fontId="9" fillId="0" borderId="0" xfId="0" applyNumberFormat="1" applyFont="1" applyAlignment="1"/>
    <xf numFmtId="165" fontId="9" fillId="5" borderId="0" xfId="0" applyNumberFormat="1" applyFont="1" applyFill="1" applyAlignment="1"/>
    <xf numFmtId="3" fontId="9" fillId="5" borderId="0" xfId="0" applyNumberFormat="1" applyFont="1" applyFill="1" applyAlignment="1"/>
    <xf numFmtId="165" fontId="9" fillId="0" borderId="0" xfId="0" applyNumberFormat="1" applyFont="1" applyAlignment="1"/>
    <xf numFmtId="3" fontId="10" fillId="0" borderId="0" xfId="0" applyNumberFormat="1" applyFont="1" applyAlignment="1"/>
    <xf numFmtId="166" fontId="10" fillId="0" borderId="0" xfId="0" applyNumberFormat="1" applyFont="1" applyAlignment="1"/>
    <xf numFmtId="166" fontId="10" fillId="5" borderId="0" xfId="0" applyNumberFormat="1" applyFont="1" applyFill="1" applyAlignment="1"/>
    <xf numFmtId="167" fontId="9" fillId="0" borderId="0" xfId="0" applyNumberFormat="1" applyFont="1" applyAlignment="1"/>
    <xf numFmtId="164" fontId="9" fillId="0" borderId="0" xfId="0" applyNumberFormat="1" applyFont="1" applyAlignment="1"/>
    <xf numFmtId="0" fontId="0" fillId="0" borderId="0" xfId="0" applyFont="1" applyAlignment="1">
      <alignment wrapText="1"/>
    </xf>
    <xf numFmtId="0" fontId="3" fillId="2" borderId="0" xfId="0" applyFont="1" applyFill="1" applyAlignment="1"/>
    <xf numFmtId="0" fontId="0" fillId="5" borderId="0" xfId="0" applyFont="1" applyFill="1" applyAlignment="1"/>
    <xf numFmtId="0" fontId="10" fillId="0" borderId="0" xfId="0" applyFont="1" applyAlignment="1"/>
    <xf numFmtId="166" fontId="0" fillId="5" borderId="0" xfId="0" applyNumberFormat="1" applyFill="1" applyAlignment="1"/>
    <xf numFmtId="165" fontId="10" fillId="0" borderId="0" xfId="0" applyNumberFormat="1" applyFont="1" applyAlignment="1"/>
    <xf numFmtId="165" fontId="0" fillId="5" borderId="0" xfId="0" applyNumberFormat="1" applyFill="1" applyAlignment="1"/>
    <xf numFmtId="0" fontId="8" fillId="5" borderId="0" xfId="0" applyFont="1" applyFill="1" applyAlignment="1"/>
    <xf numFmtId="0" fontId="6" fillId="0" borderId="0" xfId="0" applyFont="1" applyAlignment="1"/>
    <xf numFmtId="166" fontId="8" fillId="4" borderId="0" xfId="0" applyNumberFormat="1" applyFont="1" applyFill="1" applyAlignment="1"/>
    <xf numFmtId="167" fontId="10" fillId="0" borderId="0" xfId="0" applyNumberFormat="1" applyFont="1" applyAlignment="1"/>
    <xf numFmtId="164" fontId="10" fillId="0" borderId="0" xfId="0" applyNumberFormat="1" applyFont="1" applyAlignment="1"/>
    <xf numFmtId="168" fontId="9" fillId="0" borderId="0" xfId="0" applyNumberFormat="1" applyFont="1" applyAlignment="1"/>
    <xf numFmtId="165" fontId="0" fillId="0" borderId="0" xfId="0" applyNumberFormat="1" applyAlignment="1"/>
    <xf numFmtId="0" fontId="5" fillId="0" borderId="0" xfId="0" applyFont="1" applyAlignment="1">
      <alignment wrapText="1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8E1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3E50"/>
  </sheetPr>
  <dimension ref="A2:I23"/>
  <sheetViews>
    <sheetView tabSelected="1" zoomScaleNormal="100" workbookViewId="0"/>
  </sheetViews>
  <sheetFormatPr defaultColWidth="8.7109375" defaultRowHeight="15"/>
  <cols>
    <col min="1" max="1" width="2" style="1" customWidth="1"/>
    <col min="2" max="2" width="42" style="1" customWidth="1"/>
    <col min="3" max="6" width="30" style="1" customWidth="1"/>
    <col min="7" max="7" width="3" style="1" customWidth="1"/>
    <col min="8" max="8" width="18" style="1" customWidth="1"/>
    <col min="9" max="9" width="22" style="1" customWidth="1"/>
  </cols>
  <sheetData>
    <row r="2" spans="2:6" ht="17.25" customHeight="1">
      <c r="B2" s="2" t="s">
        <v>0</v>
      </c>
    </row>
    <row r="3" spans="2:6" ht="15" customHeight="1">
      <c r="B3" s="3" t="s">
        <v>1</v>
      </c>
    </row>
    <row r="5" spans="2:6" ht="15" customHeight="1">
      <c r="C5" s="4" t="s">
        <v>2</v>
      </c>
      <c r="D5" s="4" t="s">
        <v>3</v>
      </c>
      <c r="E5" s="4" t="s">
        <v>4</v>
      </c>
      <c r="F5" s="4" t="s">
        <v>5</v>
      </c>
    </row>
    <row r="7" spans="2:6" ht="32.25" customHeight="1">
      <c r="B7" s="5" t="s">
        <v>6</v>
      </c>
      <c r="C7" s="6" t="s">
        <v>7</v>
      </c>
      <c r="D7" s="6" t="s">
        <v>8</v>
      </c>
      <c r="E7" s="6" t="s">
        <v>9</v>
      </c>
      <c r="F7" s="6" t="s">
        <v>10</v>
      </c>
    </row>
    <row r="9" spans="2:6" ht="32.25" customHeight="1">
      <c r="B9" s="5" t="s">
        <v>11</v>
      </c>
      <c r="C9" s="6" t="s">
        <v>12</v>
      </c>
      <c r="D9" s="6" t="s">
        <v>13</v>
      </c>
      <c r="E9" s="6" t="s">
        <v>14</v>
      </c>
      <c r="F9" s="6" t="s">
        <v>15</v>
      </c>
    </row>
    <row r="11" spans="2:6" ht="42.75" customHeight="1">
      <c r="B11" s="5" t="s">
        <v>16</v>
      </c>
      <c r="C11" s="6" t="s">
        <v>17</v>
      </c>
      <c r="D11" s="6" t="s">
        <v>18</v>
      </c>
      <c r="E11" s="6" t="s">
        <v>19</v>
      </c>
      <c r="F11" s="6" t="s">
        <v>20</v>
      </c>
    </row>
    <row r="13" spans="2:6" ht="32.25" customHeight="1">
      <c r="B13" s="5" t="s">
        <v>21</v>
      </c>
      <c r="C13" s="6" t="s">
        <v>22</v>
      </c>
      <c r="D13" s="6" t="s">
        <v>23</v>
      </c>
      <c r="E13" s="6" t="s">
        <v>24</v>
      </c>
      <c r="F13" s="6" t="s">
        <v>25</v>
      </c>
    </row>
    <row r="15" spans="2:6" ht="42.75" customHeight="1">
      <c r="B15" s="5" t="s">
        <v>26</v>
      </c>
      <c r="C15" s="6" t="s">
        <v>27</v>
      </c>
      <c r="D15" s="6" t="s">
        <v>28</v>
      </c>
      <c r="E15" s="6" t="s">
        <v>29</v>
      </c>
      <c r="F15" s="6" t="s">
        <v>30</v>
      </c>
    </row>
    <row r="17" spans="2:6" ht="32.25" customHeight="1">
      <c r="B17" s="5" t="s">
        <v>31</v>
      </c>
      <c r="C17" s="6" t="s">
        <v>32</v>
      </c>
      <c r="D17" s="6" t="s">
        <v>33</v>
      </c>
      <c r="E17" s="6" t="s">
        <v>34</v>
      </c>
      <c r="F17" s="6" t="s">
        <v>35</v>
      </c>
    </row>
    <row r="19" spans="2:6" ht="32.25" customHeight="1">
      <c r="B19" s="5" t="s">
        <v>36</v>
      </c>
      <c r="C19" s="6" t="s">
        <v>37</v>
      </c>
      <c r="D19" s="6" t="s">
        <v>38</v>
      </c>
      <c r="E19" s="6" t="s">
        <v>39</v>
      </c>
      <c r="F19" s="6" t="s">
        <v>40</v>
      </c>
    </row>
    <row r="21" spans="2:6" ht="32.25" customHeight="1">
      <c r="B21" s="5" t="s">
        <v>41</v>
      </c>
      <c r="C21" s="6" t="s">
        <v>42</v>
      </c>
      <c r="D21" s="6" t="s">
        <v>43</v>
      </c>
      <c r="E21" s="6" t="s">
        <v>44</v>
      </c>
      <c r="F21" s="6" t="s">
        <v>45</v>
      </c>
    </row>
    <row r="23" spans="2:6" ht="42.75" customHeight="1">
      <c r="B23" s="5" t="s">
        <v>46</v>
      </c>
      <c r="C23" s="6" t="s">
        <v>47</v>
      </c>
      <c r="D23" s="6" t="s">
        <v>48</v>
      </c>
      <c r="E23" s="6" t="s">
        <v>49</v>
      </c>
      <c r="F23" s="6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3E50"/>
  </sheetPr>
  <dimension ref="A2:I60"/>
  <sheetViews>
    <sheetView zoomScaleNormal="100" workbookViewId="0"/>
  </sheetViews>
  <sheetFormatPr defaultColWidth="8.7109375" defaultRowHeight="15"/>
  <cols>
    <col min="1" max="1" width="2" style="1" customWidth="1"/>
    <col min="2" max="2" width="42" style="1" customWidth="1"/>
    <col min="3" max="5" width="18" style="1" customWidth="1"/>
    <col min="6" max="6" width="30" style="1" customWidth="1"/>
    <col min="7" max="7" width="3" style="1" customWidth="1"/>
    <col min="8" max="8" width="18" style="1" customWidth="1"/>
    <col min="9" max="9" width="22" style="1" customWidth="1"/>
  </cols>
  <sheetData>
    <row r="2" spans="2:9" ht="17.25" customHeight="1">
      <c r="B2" s="2" t="s">
        <v>51</v>
      </c>
    </row>
    <row r="3" spans="2:9" ht="15" customHeight="1">
      <c r="B3" s="3" t="s">
        <v>52</v>
      </c>
    </row>
    <row r="6" spans="2:9" ht="15" customHeight="1">
      <c r="B6" s="7" t="s">
        <v>53</v>
      </c>
    </row>
    <row r="7" spans="2:9" ht="15" customHeight="1"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</row>
    <row r="8" spans="2:9" ht="15" customHeight="1">
      <c r="B8" s="1" t="s">
        <v>59</v>
      </c>
      <c r="C8" s="8">
        <v>2</v>
      </c>
      <c r="D8" s="8">
        <v>4</v>
      </c>
      <c r="E8" s="8">
        <v>7</v>
      </c>
      <c r="F8" s="9" t="s">
        <v>60</v>
      </c>
    </row>
    <row r="9" spans="2:9" ht="15" customHeight="1">
      <c r="B9" s="1" t="s">
        <v>61</v>
      </c>
      <c r="C9" s="10">
        <v>3</v>
      </c>
      <c r="D9" s="10">
        <v>5</v>
      </c>
      <c r="E9" s="10">
        <v>8</v>
      </c>
      <c r="F9" s="9" t="s">
        <v>62</v>
      </c>
    </row>
    <row r="10" spans="2:9" ht="15" customHeight="1">
      <c r="B10" s="1" t="s">
        <v>63</v>
      </c>
      <c r="C10" s="11">
        <v>0.4</v>
      </c>
      <c r="D10" s="11">
        <v>0.7</v>
      </c>
      <c r="E10" s="11">
        <v>0.9</v>
      </c>
      <c r="F10" s="9" t="s">
        <v>64</v>
      </c>
    </row>
    <row r="11" spans="2:9" ht="15" customHeight="1">
      <c r="B11" s="5" t="s">
        <v>65</v>
      </c>
      <c r="C11" s="12">
        <f>ROUND(C8*C9*C10,0)</f>
        <v>2</v>
      </c>
      <c r="D11" s="12">
        <f>ROUND(D8*D9*D10,0)</f>
        <v>14</v>
      </c>
      <c r="E11" s="12">
        <f>ROUND(E8*E9*E10,0)</f>
        <v>50</v>
      </c>
      <c r="F11" s="9" t="s">
        <v>66</v>
      </c>
    </row>
    <row r="13" spans="2:9" ht="15" customHeight="1">
      <c r="B13" s="7" t="s">
        <v>67</v>
      </c>
    </row>
    <row r="14" spans="2:9" ht="15" customHeight="1">
      <c r="H14" s="5" t="s">
        <v>68</v>
      </c>
      <c r="I14" s="5" t="s">
        <v>69</v>
      </c>
    </row>
    <row r="15" spans="2:9" ht="15" customHeight="1">
      <c r="B15" s="1" t="s">
        <v>70</v>
      </c>
      <c r="C15" s="1" t="s">
        <v>71</v>
      </c>
      <c r="F15" s="9" t="s">
        <v>72</v>
      </c>
    </row>
    <row r="16" spans="2:9" ht="15" customHeight="1">
      <c r="B16" s="1" t="s">
        <v>73</v>
      </c>
      <c r="C16" s="13">
        <v>90000</v>
      </c>
      <c r="F16" s="9" t="s">
        <v>74</v>
      </c>
      <c r="H16" s="14">
        <v>85000</v>
      </c>
      <c r="I16" s="15">
        <f>C16-H16</f>
        <v>5000</v>
      </c>
    </row>
    <row r="17" spans="2:9" ht="15" customHeight="1">
      <c r="B17" s="1" t="s">
        <v>75</v>
      </c>
      <c r="C17" s="11">
        <v>0.15</v>
      </c>
      <c r="F17" s="9" t="s">
        <v>76</v>
      </c>
    </row>
    <row r="18" spans="2:9" ht="15" customHeight="1">
      <c r="B18" s="5" t="s">
        <v>77</v>
      </c>
      <c r="C18" s="15">
        <f>C16*(1-C17)</f>
        <v>76500</v>
      </c>
      <c r="F18" s="9" t="s">
        <v>78</v>
      </c>
      <c r="H18" s="14">
        <v>70550</v>
      </c>
      <c r="I18" s="15">
        <f>C18-H18</f>
        <v>5950</v>
      </c>
    </row>
    <row r="19" spans="2:9" ht="15" customHeight="1">
      <c r="B19" s="1" t="s">
        <v>79</v>
      </c>
      <c r="C19" s="11">
        <v>0.08</v>
      </c>
    </row>
    <row r="20" spans="2:9" ht="15" customHeight="1">
      <c r="B20" s="5" t="s">
        <v>80</v>
      </c>
      <c r="C20" s="15">
        <f>C18*(1-C19)</f>
        <v>70380</v>
      </c>
    </row>
    <row r="22" spans="2:9" ht="15" customHeight="1">
      <c r="B22" s="7" t="s">
        <v>81</v>
      </c>
    </row>
    <row r="23" spans="2:9" ht="15" customHeight="1">
      <c r="B23" s="5" t="s">
        <v>82</v>
      </c>
      <c r="C23" s="5" t="s">
        <v>83</v>
      </c>
      <c r="D23" s="5" t="s">
        <v>84</v>
      </c>
      <c r="F23" s="5" t="s">
        <v>58</v>
      </c>
      <c r="H23" s="5" t="s">
        <v>85</v>
      </c>
      <c r="I23" s="5" t="s">
        <v>86</v>
      </c>
    </row>
    <row r="24" spans="2:9" ht="15" customHeight="1">
      <c r="B24" s="1" t="s">
        <v>87</v>
      </c>
      <c r="C24" s="11">
        <v>0.65</v>
      </c>
      <c r="D24" s="8">
        <v>10</v>
      </c>
      <c r="F24" s="9" t="s">
        <v>88</v>
      </c>
      <c r="H24" s="16">
        <v>0.55000000000000004</v>
      </c>
      <c r="I24" s="17">
        <v>14</v>
      </c>
    </row>
    <row r="25" spans="2:9" ht="15" customHeight="1">
      <c r="B25" s="1" t="s">
        <v>89</v>
      </c>
      <c r="C25" s="11">
        <v>0.5</v>
      </c>
      <c r="D25" s="8">
        <v>18</v>
      </c>
      <c r="F25" s="9" t="s">
        <v>90</v>
      </c>
      <c r="H25" s="16">
        <v>0.42</v>
      </c>
      <c r="I25" s="17">
        <v>21</v>
      </c>
    </row>
    <row r="26" spans="2:9" ht="15" customHeight="1">
      <c r="B26" s="1" t="s">
        <v>91</v>
      </c>
      <c r="C26" s="11">
        <v>0.38</v>
      </c>
      <c r="D26" s="8">
        <v>35</v>
      </c>
      <c r="F26" s="9" t="s">
        <v>92</v>
      </c>
      <c r="H26" s="16">
        <v>0.28000000000000003</v>
      </c>
      <c r="I26" s="17">
        <v>45</v>
      </c>
    </row>
    <row r="28" spans="2:9" ht="15" customHeight="1">
      <c r="B28" s="5" t="s">
        <v>93</v>
      </c>
      <c r="C28" s="18">
        <f>C24*C25*C26</f>
        <v>0.12350000000000001</v>
      </c>
      <c r="H28" s="18">
        <f>H24*H25*H26</f>
        <v>6.4680000000000015E-2</v>
      </c>
    </row>
    <row r="29" spans="2:9" ht="15" customHeight="1">
      <c r="B29" s="5" t="s">
        <v>94</v>
      </c>
      <c r="D29" s="12">
        <f>D24+D25+D26</f>
        <v>63</v>
      </c>
      <c r="I29" s="12">
        <f>I24+I25+I26</f>
        <v>80</v>
      </c>
    </row>
    <row r="30" spans="2:9" ht="15" customHeight="1">
      <c r="B30" s="5" t="s">
        <v>95</v>
      </c>
      <c r="C30" s="18">
        <f>C26</f>
        <v>0.38</v>
      </c>
      <c r="H30" s="18">
        <f>H26</f>
        <v>0.28000000000000003</v>
      </c>
      <c r="I30" s="18">
        <f>C30-H30</f>
        <v>9.9999999999999978E-2</v>
      </c>
    </row>
    <row r="32" spans="2:9" ht="15" customHeight="1">
      <c r="B32" s="7" t="s">
        <v>96</v>
      </c>
    </row>
    <row r="33" spans="2:6" ht="15" customHeight="1">
      <c r="B33" s="5" t="s">
        <v>54</v>
      </c>
      <c r="C33" s="5" t="s">
        <v>55</v>
      </c>
      <c r="D33" s="5" t="s">
        <v>56</v>
      </c>
      <c r="E33" s="5" t="s">
        <v>57</v>
      </c>
      <c r="F33" s="5" t="s">
        <v>58</v>
      </c>
    </row>
    <row r="34" spans="2:6" ht="15" customHeight="1">
      <c r="B34" s="1" t="s">
        <v>97</v>
      </c>
      <c r="C34" s="19">
        <f>C11</f>
        <v>2</v>
      </c>
      <c r="D34" s="19">
        <f>D11</f>
        <v>14</v>
      </c>
      <c r="E34" s="19">
        <f>E11</f>
        <v>50</v>
      </c>
    </row>
    <row r="35" spans="2:6" ht="15" customHeight="1">
      <c r="B35" s="1" t="s">
        <v>98</v>
      </c>
      <c r="C35" s="15">
        <f>C34*C16</f>
        <v>180000</v>
      </c>
      <c r="D35" s="15">
        <f>D34*C16</f>
        <v>1260000</v>
      </c>
      <c r="E35" s="15">
        <f>E34*C16</f>
        <v>4500000</v>
      </c>
    </row>
    <row r="36" spans="2:6" ht="15" customHeight="1">
      <c r="B36" s="5" t="s">
        <v>99</v>
      </c>
      <c r="C36" s="15">
        <f>C34*C20</f>
        <v>140760</v>
      </c>
      <c r="D36" s="15">
        <f>D34*C20</f>
        <v>985320</v>
      </c>
      <c r="E36" s="15">
        <f>E34*C20</f>
        <v>3519000</v>
      </c>
      <c r="F36" s="9" t="s">
        <v>100</v>
      </c>
    </row>
    <row r="37" spans="2:6" ht="15" customHeight="1">
      <c r="B37" s="1" t="s">
        <v>101</v>
      </c>
      <c r="C37" s="15">
        <f>C35-C36</f>
        <v>39240</v>
      </c>
      <c r="D37" s="15">
        <f>D35-D36</f>
        <v>274680</v>
      </c>
      <c r="E37" s="15">
        <f>E35-E36</f>
        <v>981000</v>
      </c>
    </row>
    <row r="39" spans="2:6" ht="15" customHeight="1">
      <c r="B39" s="7" t="s">
        <v>102</v>
      </c>
    </row>
    <row r="40" spans="2:6" ht="15" customHeight="1">
      <c r="B40" s="5" t="s">
        <v>103</v>
      </c>
      <c r="C40" s="5" t="s">
        <v>55</v>
      </c>
      <c r="D40" s="5" t="s">
        <v>56</v>
      </c>
      <c r="E40" s="5" t="s">
        <v>57</v>
      </c>
      <c r="F40" s="5" t="s">
        <v>58</v>
      </c>
    </row>
    <row r="41" spans="2:6" ht="15" customHeight="1">
      <c r="B41" s="1" t="s">
        <v>104</v>
      </c>
      <c r="C41" s="13">
        <v>0</v>
      </c>
      <c r="D41" s="13">
        <v>130000</v>
      </c>
      <c r="E41" s="13">
        <v>140000</v>
      </c>
      <c r="F41" s="9" t="s">
        <v>105</v>
      </c>
    </row>
    <row r="42" spans="2:6" ht="15" customHeight="1">
      <c r="B42" s="1" t="s">
        <v>106</v>
      </c>
      <c r="C42" s="13">
        <v>20000</v>
      </c>
      <c r="D42" s="13">
        <v>45000</v>
      </c>
      <c r="E42" s="13">
        <v>70000</v>
      </c>
      <c r="F42" s="9" t="s">
        <v>107</v>
      </c>
    </row>
    <row r="43" spans="2:6" ht="15" customHeight="1">
      <c r="B43" s="1" t="s">
        <v>108</v>
      </c>
      <c r="C43" s="13">
        <v>5000</v>
      </c>
      <c r="D43" s="13">
        <v>20000</v>
      </c>
      <c r="E43" s="13">
        <v>40000</v>
      </c>
    </row>
    <row r="44" spans="2:6" ht="15" customHeight="1">
      <c r="B44" s="1" t="s">
        <v>109</v>
      </c>
      <c r="C44" s="13">
        <v>0</v>
      </c>
      <c r="D44" s="13">
        <v>5000</v>
      </c>
      <c r="E44" s="13">
        <v>10000</v>
      </c>
    </row>
    <row r="45" spans="2:6" ht="15" customHeight="1">
      <c r="B45" s="5" t="s">
        <v>110</v>
      </c>
      <c r="C45" s="15">
        <f>SUM(C41:C44)</f>
        <v>25000</v>
      </c>
      <c r="D45" s="15">
        <f>SUM(D41:D44)</f>
        <v>200000</v>
      </c>
      <c r="E45" s="15">
        <f>SUM(E41:E44)</f>
        <v>260000</v>
      </c>
      <c r="F45" s="9" t="s">
        <v>111</v>
      </c>
    </row>
    <row r="46" spans="2:6" ht="15" customHeight="1">
      <c r="B46" s="1" t="s">
        <v>112</v>
      </c>
      <c r="C46" s="20">
        <f>C37</f>
        <v>39240</v>
      </c>
      <c r="D46" s="20">
        <f>D37</f>
        <v>274680</v>
      </c>
      <c r="E46" s="20">
        <f>E37</f>
        <v>981000</v>
      </c>
      <c r="F46" s="9" t="s">
        <v>113</v>
      </c>
    </row>
    <row r="47" spans="2:6" ht="15" customHeight="1">
      <c r="B47" s="5" t="s">
        <v>114</v>
      </c>
      <c r="C47" s="15">
        <f>C45+C46</f>
        <v>64240</v>
      </c>
      <c r="D47" s="15">
        <f>D45+D46</f>
        <v>474680</v>
      </c>
      <c r="E47" s="15">
        <f>E45+E46</f>
        <v>1241000</v>
      </c>
    </row>
    <row r="49" spans="2:9" ht="15" customHeight="1">
      <c r="B49" s="7" t="s">
        <v>115</v>
      </c>
    </row>
    <row r="50" spans="2:9" ht="15" customHeight="1">
      <c r="B50" s="5" t="s">
        <v>54</v>
      </c>
      <c r="C50" s="5" t="s">
        <v>55</v>
      </c>
      <c r="D50" s="5" t="s">
        <v>56</v>
      </c>
      <c r="E50" s="5" t="s">
        <v>57</v>
      </c>
      <c r="H50" s="5" t="s">
        <v>116</v>
      </c>
      <c r="I50" s="5" t="s">
        <v>69</v>
      </c>
    </row>
    <row r="51" spans="2:9" ht="15" customHeight="1">
      <c r="B51" s="1" t="s">
        <v>117</v>
      </c>
      <c r="C51" s="15">
        <f>IF(C34=0,0,C47/C34)</f>
        <v>32120</v>
      </c>
      <c r="D51" s="15">
        <f>IF(D34=0,0,D47/D34)</f>
        <v>33905.714285714283</v>
      </c>
      <c r="E51" s="15">
        <f>IF(E34=0,0,E47/E34)</f>
        <v>24820</v>
      </c>
      <c r="H51" s="21">
        <f>'Revenue Model'!C42</f>
        <v>15000</v>
      </c>
      <c r="I51" s="15">
        <f>C51-H51</f>
        <v>17120</v>
      </c>
    </row>
    <row r="52" spans="2:9" ht="15" customHeight="1">
      <c r="B52" s="1" t="s">
        <v>118</v>
      </c>
      <c r="C52" s="18">
        <f>IF(C18=0,0,C51/C18)</f>
        <v>0.41986928104575161</v>
      </c>
      <c r="D52" s="18">
        <f>IF(C18=0,0,D51/C18)</f>
        <v>0.44321195144724551</v>
      </c>
      <c r="E52" s="18">
        <f>IF(C18=0,0,E51/C18)</f>
        <v>0.32444444444444442</v>
      </c>
      <c r="F52" s="9" t="s">
        <v>119</v>
      </c>
    </row>
    <row r="53" spans="2:9" ht="15" customHeight="1">
      <c r="B53" s="1" t="s">
        <v>120</v>
      </c>
      <c r="C53" s="22">
        <f>C52*12</f>
        <v>5.0384313725490193</v>
      </c>
      <c r="D53" s="22">
        <f>D52*12</f>
        <v>5.3185434173669464</v>
      </c>
      <c r="E53" s="22">
        <f>E52*12</f>
        <v>3.8933333333333331</v>
      </c>
      <c r="F53" s="9" t="s">
        <v>121</v>
      </c>
    </row>
    <row r="54" spans="2:9" ht="15" customHeight="1">
      <c r="B54" s="1" t="s">
        <v>122</v>
      </c>
      <c r="C54" s="23">
        <f>IF(C47=0,0,C36/C47)</f>
        <v>2.1911581569115817</v>
      </c>
      <c r="D54" s="23">
        <f>IF(D47=0,0,D36/D47)</f>
        <v>2.0757562989803655</v>
      </c>
      <c r="E54" s="23">
        <f>IF(E47=0,0,E36/E47)</f>
        <v>2.8356164383561642</v>
      </c>
      <c r="F54" s="9" t="s">
        <v>123</v>
      </c>
    </row>
    <row r="56" spans="2:9" ht="15" customHeight="1">
      <c r="B56" s="7" t="s">
        <v>124</v>
      </c>
    </row>
    <row r="57" spans="2:9" ht="15" customHeight="1">
      <c r="B57" s="5" t="s">
        <v>125</v>
      </c>
      <c r="C57" s="5" t="s">
        <v>126</v>
      </c>
      <c r="D57" s="5" t="s">
        <v>127</v>
      </c>
      <c r="E57" s="5" t="s">
        <v>128</v>
      </c>
    </row>
    <row r="58" spans="2:9" ht="45.75" customHeight="1">
      <c r="B58" s="1" t="s">
        <v>129</v>
      </c>
      <c r="C58" s="1" t="s">
        <v>130</v>
      </c>
      <c r="D58" s="1" t="s">
        <v>131</v>
      </c>
      <c r="E58" s="24" t="s">
        <v>132</v>
      </c>
    </row>
    <row r="59" spans="2:9" ht="45.75" customHeight="1">
      <c r="B59" s="1" t="s">
        <v>133</v>
      </c>
      <c r="C59" s="1" t="s">
        <v>130</v>
      </c>
      <c r="D59" s="1" t="s">
        <v>131</v>
      </c>
      <c r="E59" s="24" t="s">
        <v>134</v>
      </c>
    </row>
    <row r="60" spans="2:9" ht="45.75" customHeight="1">
      <c r="B60" s="1" t="s">
        <v>135</v>
      </c>
      <c r="C60" s="1" t="s">
        <v>131</v>
      </c>
      <c r="D60" s="1" t="s">
        <v>130</v>
      </c>
      <c r="E60" s="24" t="s">
        <v>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C3E50"/>
  </sheetPr>
  <dimension ref="A2:I60"/>
  <sheetViews>
    <sheetView zoomScaleNormal="100" workbookViewId="0"/>
  </sheetViews>
  <sheetFormatPr defaultColWidth="8.7109375" defaultRowHeight="15"/>
  <cols>
    <col min="1" max="1" width="2" style="1" customWidth="1"/>
    <col min="2" max="2" width="42" style="1" customWidth="1"/>
    <col min="3" max="5" width="18" style="1" customWidth="1"/>
    <col min="6" max="6" width="30" style="1" customWidth="1"/>
    <col min="7" max="7" width="3" style="1" customWidth="1"/>
    <col min="8" max="8" width="18" style="1" customWidth="1"/>
    <col min="9" max="9" width="22" style="1" customWidth="1"/>
  </cols>
  <sheetData>
    <row r="2" spans="2:9" ht="17.25" customHeight="1">
      <c r="B2" s="2" t="s">
        <v>137</v>
      </c>
    </row>
    <row r="3" spans="2:9" ht="15" customHeight="1">
      <c r="B3" s="3" t="s">
        <v>138</v>
      </c>
    </row>
    <row r="6" spans="2:9" ht="15" customHeight="1">
      <c r="B6" s="7" t="s">
        <v>53</v>
      </c>
    </row>
    <row r="7" spans="2:9" ht="15" customHeight="1"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</row>
    <row r="8" spans="2:9" ht="15" customHeight="1">
      <c r="B8" s="1" t="s">
        <v>59</v>
      </c>
      <c r="C8" s="8">
        <v>1</v>
      </c>
      <c r="D8" s="8">
        <v>3</v>
      </c>
      <c r="E8" s="8">
        <v>5</v>
      </c>
      <c r="F8" s="9" t="s">
        <v>139</v>
      </c>
    </row>
    <row r="9" spans="2:9" ht="15" customHeight="1">
      <c r="B9" s="1" t="s">
        <v>61</v>
      </c>
      <c r="C9" s="10">
        <v>4</v>
      </c>
      <c r="D9" s="10">
        <v>7</v>
      </c>
      <c r="E9" s="10">
        <v>11</v>
      </c>
      <c r="F9" s="9" t="s">
        <v>140</v>
      </c>
    </row>
    <row r="10" spans="2:9" ht="15" customHeight="1">
      <c r="B10" s="1" t="s">
        <v>63</v>
      </c>
      <c r="C10" s="11">
        <v>0.25</v>
      </c>
      <c r="D10" s="11">
        <v>0.6</v>
      </c>
      <c r="E10" s="11">
        <v>0.85</v>
      </c>
      <c r="F10" s="9" t="s">
        <v>141</v>
      </c>
    </row>
    <row r="11" spans="2:9" ht="15" customHeight="1">
      <c r="B11" s="5" t="s">
        <v>65</v>
      </c>
      <c r="C11" s="12">
        <f>ROUND(C8*C9*C10,0)</f>
        <v>1</v>
      </c>
      <c r="D11" s="12">
        <f>ROUND(D8*D9*D10,0)</f>
        <v>13</v>
      </c>
      <c r="E11" s="12">
        <f>ROUND(E8*E9*E10,0)</f>
        <v>47</v>
      </c>
      <c r="F11" s="9" t="s">
        <v>66</v>
      </c>
    </row>
    <row r="13" spans="2:9" ht="15" customHeight="1">
      <c r="B13" s="7" t="s">
        <v>67</v>
      </c>
    </row>
    <row r="14" spans="2:9" ht="15" customHeight="1">
      <c r="H14" s="5" t="s">
        <v>68</v>
      </c>
      <c r="I14" s="5" t="s">
        <v>69</v>
      </c>
    </row>
    <row r="15" spans="2:9" ht="15" customHeight="1">
      <c r="B15" s="1" t="s">
        <v>70</v>
      </c>
      <c r="C15" s="1" t="s">
        <v>142</v>
      </c>
      <c r="F15" s="9" t="s">
        <v>143</v>
      </c>
    </row>
    <row r="16" spans="2:9" ht="15" customHeight="1">
      <c r="B16" s="1" t="s">
        <v>73</v>
      </c>
      <c r="C16" s="13">
        <v>85000</v>
      </c>
      <c r="F16" s="9" t="s">
        <v>144</v>
      </c>
      <c r="H16" s="14">
        <v>85000</v>
      </c>
      <c r="I16" s="15">
        <f>C16-H16</f>
        <v>0</v>
      </c>
    </row>
    <row r="17" spans="2:9" ht="15" customHeight="1">
      <c r="B17" s="1" t="s">
        <v>145</v>
      </c>
      <c r="C17" s="11">
        <v>0.25</v>
      </c>
      <c r="F17" s="9" t="s">
        <v>146</v>
      </c>
    </row>
    <row r="18" spans="2:9" ht="15" customHeight="1">
      <c r="B18" s="5" t="s">
        <v>77</v>
      </c>
      <c r="C18" s="15">
        <f>C16*(1-C17)</f>
        <v>63750</v>
      </c>
      <c r="F18" s="9" t="s">
        <v>78</v>
      </c>
      <c r="H18" s="14">
        <v>70550</v>
      </c>
      <c r="I18" s="15">
        <f>C18-H18</f>
        <v>-6800</v>
      </c>
    </row>
    <row r="19" spans="2:9" ht="15" customHeight="1">
      <c r="B19" s="1" t="s">
        <v>79</v>
      </c>
      <c r="C19" s="11">
        <v>0.05</v>
      </c>
    </row>
    <row r="20" spans="2:9" ht="15" customHeight="1">
      <c r="B20" s="5" t="s">
        <v>80</v>
      </c>
      <c r="C20" s="15">
        <f>C18*(1-C19)</f>
        <v>60562.5</v>
      </c>
    </row>
    <row r="22" spans="2:9" ht="15" customHeight="1">
      <c r="B22" s="7" t="s">
        <v>81</v>
      </c>
    </row>
    <row r="23" spans="2:9" ht="15" customHeight="1">
      <c r="B23" s="5" t="s">
        <v>82</v>
      </c>
      <c r="C23" s="5" t="s">
        <v>83</v>
      </c>
      <c r="D23" s="5" t="s">
        <v>84</v>
      </c>
      <c r="F23" s="5" t="s">
        <v>58</v>
      </c>
      <c r="H23" s="5" t="s">
        <v>85</v>
      </c>
      <c r="I23" s="5" t="s">
        <v>86</v>
      </c>
    </row>
    <row r="24" spans="2:9" ht="15" customHeight="1">
      <c r="B24" s="1" t="s">
        <v>147</v>
      </c>
      <c r="C24" s="11">
        <v>0.6</v>
      </c>
      <c r="D24" s="8">
        <v>14</v>
      </c>
      <c r="F24" s="9" t="s">
        <v>148</v>
      </c>
      <c r="H24" s="16">
        <v>0.42</v>
      </c>
      <c r="I24" s="17">
        <v>21</v>
      </c>
    </row>
    <row r="25" spans="2:9" ht="15" customHeight="1">
      <c r="B25" s="1" t="s">
        <v>91</v>
      </c>
      <c r="C25" s="11">
        <v>0.3</v>
      </c>
      <c r="D25" s="8">
        <v>40</v>
      </c>
      <c r="F25" s="9" t="s">
        <v>149</v>
      </c>
      <c r="H25" s="16">
        <v>0.28000000000000003</v>
      </c>
      <c r="I25" s="17">
        <v>45</v>
      </c>
    </row>
    <row r="27" spans="2:9" ht="15" customHeight="1">
      <c r="B27" s="5" t="s">
        <v>93</v>
      </c>
      <c r="C27" s="18">
        <f>C24*C25</f>
        <v>0.18</v>
      </c>
      <c r="H27" s="18">
        <f>H24*H25</f>
        <v>0.11760000000000001</v>
      </c>
    </row>
    <row r="28" spans="2:9" ht="15" customHeight="1">
      <c r="B28" s="5" t="s">
        <v>94</v>
      </c>
      <c r="D28" s="12">
        <f>D24+D25</f>
        <v>54</v>
      </c>
      <c r="I28" s="12">
        <f>I24+I25</f>
        <v>66</v>
      </c>
    </row>
    <row r="29" spans="2:9" ht="15" customHeight="1">
      <c r="B29" s="5" t="s">
        <v>95</v>
      </c>
      <c r="C29" s="18">
        <f>C25</f>
        <v>0.3</v>
      </c>
      <c r="H29" s="18">
        <f>H25</f>
        <v>0.28000000000000003</v>
      </c>
      <c r="I29" s="18">
        <f>C29-H29</f>
        <v>1.9999999999999962E-2</v>
      </c>
    </row>
    <row r="31" spans="2:9" ht="15" customHeight="1">
      <c r="B31" s="7" t="s">
        <v>96</v>
      </c>
    </row>
    <row r="32" spans="2:9" ht="15" customHeight="1">
      <c r="B32" s="5" t="s">
        <v>54</v>
      </c>
      <c r="C32" s="5" t="s">
        <v>55</v>
      </c>
      <c r="D32" s="5" t="s">
        <v>56</v>
      </c>
      <c r="E32" s="5" t="s">
        <v>57</v>
      </c>
      <c r="F32" s="5" t="s">
        <v>58</v>
      </c>
    </row>
    <row r="33" spans="2:6" ht="15" customHeight="1">
      <c r="B33" s="1" t="s">
        <v>97</v>
      </c>
      <c r="C33" s="19">
        <f>C11</f>
        <v>1</v>
      </c>
      <c r="D33" s="19">
        <f>D11</f>
        <v>13</v>
      </c>
      <c r="E33" s="19">
        <f>E11</f>
        <v>47</v>
      </c>
    </row>
    <row r="34" spans="2:6" ht="15" customHeight="1">
      <c r="B34" s="1" t="s">
        <v>98</v>
      </c>
      <c r="C34" s="15">
        <f>C33*C16</f>
        <v>85000</v>
      </c>
      <c r="D34" s="15">
        <f>D33*C16</f>
        <v>1105000</v>
      </c>
      <c r="E34" s="15">
        <f>E33*C16</f>
        <v>3995000</v>
      </c>
    </row>
    <row r="35" spans="2:6" ht="15" customHeight="1">
      <c r="B35" s="5" t="s">
        <v>99</v>
      </c>
      <c r="C35" s="15">
        <f>C33*C20</f>
        <v>60562.5</v>
      </c>
      <c r="D35" s="15">
        <f>D33*C20</f>
        <v>787312.5</v>
      </c>
      <c r="E35" s="15">
        <f>E33*C20</f>
        <v>2846437.5</v>
      </c>
      <c r="F35" s="9" t="s">
        <v>100</v>
      </c>
    </row>
    <row r="36" spans="2:6" ht="15" customHeight="1">
      <c r="B36" s="1" t="s">
        <v>150</v>
      </c>
      <c r="C36" s="15">
        <f>C34-C35</f>
        <v>24437.5</v>
      </c>
      <c r="D36" s="15">
        <f>D34-D35</f>
        <v>317687.5</v>
      </c>
      <c r="E36" s="15">
        <f>E34-E35</f>
        <v>1148562.5</v>
      </c>
    </row>
    <row r="38" spans="2:6" ht="15" customHeight="1">
      <c r="B38" s="7" t="s">
        <v>102</v>
      </c>
    </row>
    <row r="39" spans="2:6" ht="15" customHeight="1">
      <c r="B39" s="5" t="s">
        <v>103</v>
      </c>
      <c r="C39" s="5" t="s">
        <v>55</v>
      </c>
      <c r="D39" s="5" t="s">
        <v>56</v>
      </c>
      <c r="E39" s="5" t="s">
        <v>57</v>
      </c>
      <c r="F39" s="5" t="s">
        <v>58</v>
      </c>
    </row>
    <row r="40" spans="2:6" ht="15" customHeight="1">
      <c r="B40" s="1" t="s">
        <v>104</v>
      </c>
      <c r="C40" s="13">
        <v>0</v>
      </c>
      <c r="D40" s="13">
        <v>130000</v>
      </c>
      <c r="E40" s="13">
        <v>260000</v>
      </c>
      <c r="F40" s="9" t="s">
        <v>151</v>
      </c>
    </row>
    <row r="41" spans="2:6" ht="15" customHeight="1">
      <c r="B41" s="1" t="s">
        <v>152</v>
      </c>
      <c r="C41" s="13">
        <v>12000</v>
      </c>
      <c r="D41" s="13">
        <v>35000</v>
      </c>
      <c r="E41" s="13">
        <v>70000</v>
      </c>
      <c r="F41" s="9" t="s">
        <v>153</v>
      </c>
    </row>
    <row r="42" spans="2:6" ht="15" customHeight="1">
      <c r="B42" s="1" t="s">
        <v>108</v>
      </c>
      <c r="C42" s="13">
        <v>5000</v>
      </c>
      <c r="D42" s="13">
        <v>18000</v>
      </c>
      <c r="E42" s="13">
        <v>35000</v>
      </c>
    </row>
    <row r="43" spans="2:6" ht="15" customHeight="1">
      <c r="B43" s="1" t="s">
        <v>109</v>
      </c>
      <c r="C43" s="13">
        <v>0</v>
      </c>
      <c r="D43" s="13">
        <v>10000</v>
      </c>
      <c r="E43" s="13">
        <v>15000</v>
      </c>
    </row>
    <row r="44" spans="2:6" ht="15" customHeight="1">
      <c r="B44" s="5" t="s">
        <v>110</v>
      </c>
      <c r="C44" s="15">
        <f>SUM(C40:C43)</f>
        <v>17000</v>
      </c>
      <c r="D44" s="15">
        <f>SUM(D40:D43)</f>
        <v>193000</v>
      </c>
      <c r="E44" s="15">
        <f>SUM(E40:E43)</f>
        <v>380000</v>
      </c>
      <c r="F44" s="9" t="s">
        <v>111</v>
      </c>
    </row>
    <row r="45" spans="2:6" ht="15" customHeight="1">
      <c r="B45" s="1" t="s">
        <v>154</v>
      </c>
      <c r="C45" s="20">
        <f>C36</f>
        <v>24437.5</v>
      </c>
      <c r="D45" s="20">
        <f>D36</f>
        <v>317687.5</v>
      </c>
      <c r="E45" s="20">
        <f>E36</f>
        <v>1148562.5</v>
      </c>
      <c r="F45" s="9" t="s">
        <v>113</v>
      </c>
    </row>
    <row r="46" spans="2:6" ht="15" customHeight="1">
      <c r="B46" s="5" t="s">
        <v>114</v>
      </c>
      <c r="C46" s="15">
        <f>C44+C45</f>
        <v>41437.5</v>
      </c>
      <c r="D46" s="15">
        <f>D44+D45</f>
        <v>510687.5</v>
      </c>
      <c r="E46" s="15">
        <f>E44+E45</f>
        <v>1528562.5</v>
      </c>
    </row>
    <row r="48" spans="2:6" ht="15" customHeight="1">
      <c r="B48" s="7" t="s">
        <v>115</v>
      </c>
    </row>
    <row r="49" spans="2:9" ht="15" customHeight="1">
      <c r="B49" s="5" t="s">
        <v>54</v>
      </c>
      <c r="C49" s="5" t="s">
        <v>55</v>
      </c>
      <c r="D49" s="5" t="s">
        <v>56</v>
      </c>
      <c r="E49" s="5" t="s">
        <v>57</v>
      </c>
      <c r="H49" s="5" t="s">
        <v>116</v>
      </c>
      <c r="I49" s="5" t="s">
        <v>69</v>
      </c>
    </row>
    <row r="50" spans="2:9" ht="15" customHeight="1">
      <c r="B50" s="1" t="s">
        <v>117</v>
      </c>
      <c r="C50" s="15">
        <f>IF(C33=0,0,C46/C33)</f>
        <v>41437.5</v>
      </c>
      <c r="D50" s="15">
        <f>IF(D33=0,0,D46/D33)</f>
        <v>39283.653846153844</v>
      </c>
      <c r="E50" s="15">
        <f>IF(E33=0,0,E46/E33)</f>
        <v>32522.606382978724</v>
      </c>
      <c r="H50" s="21">
        <f>'Revenue Model'!C42</f>
        <v>15000</v>
      </c>
      <c r="I50" s="15">
        <f>C50-H50</f>
        <v>26437.5</v>
      </c>
    </row>
    <row r="51" spans="2:9" ht="15" customHeight="1">
      <c r="B51" s="1" t="s">
        <v>118</v>
      </c>
      <c r="C51" s="18">
        <f>IF(C18=0,0,C50/C18)</f>
        <v>0.65</v>
      </c>
      <c r="D51" s="18">
        <f>IF(C18=0,0,D50/C18)</f>
        <v>0.61621417797888378</v>
      </c>
      <c r="E51" s="18">
        <f>IF(C18=0,0,E50/C18)</f>
        <v>0.51015853149770551</v>
      </c>
      <c r="F51" s="9" t="s">
        <v>119</v>
      </c>
    </row>
    <row r="52" spans="2:9" ht="15" customHeight="1">
      <c r="B52" s="1" t="s">
        <v>120</v>
      </c>
      <c r="C52" s="22">
        <f>C51*12</f>
        <v>7.8000000000000007</v>
      </c>
      <c r="D52" s="22">
        <f>D51*12</f>
        <v>7.3945701357466049</v>
      </c>
      <c r="E52" s="22">
        <f>E51*12</f>
        <v>6.1219023779724662</v>
      </c>
      <c r="F52" s="9" t="s">
        <v>121</v>
      </c>
    </row>
    <row r="53" spans="2:9" ht="15" customHeight="1">
      <c r="B53" s="1" t="s">
        <v>122</v>
      </c>
      <c r="C53" s="23">
        <f>IF(C46=0,0,C35/C46)</f>
        <v>1.4615384615384615</v>
      </c>
      <c r="D53" s="23">
        <f>IF(D46=0,0,D35/D46)</f>
        <v>1.5416717660017134</v>
      </c>
      <c r="E53" s="23">
        <f>IF(E46=0,0,E35/E46)</f>
        <v>1.8621662509710921</v>
      </c>
      <c r="F53" s="9" t="s">
        <v>123</v>
      </c>
    </row>
    <row r="55" spans="2:9" ht="15" customHeight="1">
      <c r="B55" s="7" t="s">
        <v>124</v>
      </c>
    </row>
    <row r="56" spans="2:9" ht="15" customHeight="1">
      <c r="B56" s="5" t="s">
        <v>125</v>
      </c>
      <c r="C56" s="5" t="s">
        <v>126</v>
      </c>
      <c r="D56" s="5" t="s">
        <v>127</v>
      </c>
      <c r="E56" s="5" t="s">
        <v>128</v>
      </c>
    </row>
    <row r="57" spans="2:9" ht="45.75" customHeight="1">
      <c r="B57" s="1" t="s">
        <v>155</v>
      </c>
      <c r="C57" s="1" t="s">
        <v>130</v>
      </c>
      <c r="D57" s="1" t="s">
        <v>130</v>
      </c>
      <c r="E57" s="24" t="s">
        <v>156</v>
      </c>
    </row>
    <row r="58" spans="2:9" ht="34.5" customHeight="1">
      <c r="B58" s="1" t="s">
        <v>157</v>
      </c>
      <c r="C58" s="1" t="s">
        <v>130</v>
      </c>
      <c r="D58" s="1" t="s">
        <v>131</v>
      </c>
      <c r="E58" s="24" t="s">
        <v>158</v>
      </c>
    </row>
    <row r="59" spans="2:9" ht="34.5" customHeight="1">
      <c r="B59" s="1" t="s">
        <v>159</v>
      </c>
      <c r="C59" s="1" t="s">
        <v>131</v>
      </c>
      <c r="D59" s="1" t="s">
        <v>130</v>
      </c>
      <c r="E59" s="24" t="s">
        <v>160</v>
      </c>
    </row>
    <row r="60" spans="2:9" ht="45.75" customHeight="1">
      <c r="B60" s="1" t="s">
        <v>161</v>
      </c>
      <c r="C60" s="1" t="s">
        <v>131</v>
      </c>
      <c r="D60" s="1" t="s">
        <v>130</v>
      </c>
      <c r="E60" s="24" t="s">
        <v>162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C3E50"/>
  </sheetPr>
  <dimension ref="A2:I59"/>
  <sheetViews>
    <sheetView zoomScaleNormal="100" workbookViewId="0"/>
  </sheetViews>
  <sheetFormatPr defaultColWidth="8.7109375" defaultRowHeight="15"/>
  <cols>
    <col min="1" max="1" width="2" style="1" customWidth="1"/>
    <col min="2" max="2" width="42" style="1" customWidth="1"/>
    <col min="3" max="5" width="18" style="1" customWidth="1"/>
    <col min="6" max="6" width="30" style="1" customWidth="1"/>
    <col min="7" max="7" width="3" style="1" customWidth="1"/>
    <col min="8" max="8" width="18" style="1" customWidth="1"/>
    <col min="9" max="9" width="22" style="1" customWidth="1"/>
  </cols>
  <sheetData>
    <row r="2" spans="2:9" ht="17.25" customHeight="1">
      <c r="B2" s="2" t="s">
        <v>163</v>
      </c>
    </row>
    <row r="3" spans="2:9" ht="15" customHeight="1">
      <c r="B3" s="3" t="s">
        <v>164</v>
      </c>
    </row>
    <row r="6" spans="2:9" ht="15" customHeight="1">
      <c r="B6" s="7" t="s">
        <v>53</v>
      </c>
    </row>
    <row r="7" spans="2:9" ht="15" customHeight="1"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</row>
    <row r="8" spans="2:9" ht="15" customHeight="1">
      <c r="B8" s="1" t="s">
        <v>59</v>
      </c>
      <c r="C8" s="8">
        <v>6</v>
      </c>
      <c r="D8" s="8">
        <v>15</v>
      </c>
      <c r="E8" s="8">
        <v>30</v>
      </c>
      <c r="F8" s="9" t="s">
        <v>165</v>
      </c>
    </row>
    <row r="9" spans="2:9" ht="15" customHeight="1">
      <c r="B9" s="1" t="s">
        <v>61</v>
      </c>
      <c r="C9" s="10">
        <v>1.5</v>
      </c>
      <c r="D9" s="10">
        <v>2</v>
      </c>
      <c r="E9" s="10">
        <v>2.5</v>
      </c>
      <c r="F9" s="9" t="s">
        <v>166</v>
      </c>
    </row>
    <row r="10" spans="2:9" ht="15" customHeight="1">
      <c r="B10" s="1" t="s">
        <v>63</v>
      </c>
      <c r="C10" s="11">
        <v>0.5</v>
      </c>
      <c r="D10" s="11">
        <v>0.75</v>
      </c>
      <c r="E10" s="11">
        <v>0.9</v>
      </c>
      <c r="F10" s="9" t="s">
        <v>167</v>
      </c>
    </row>
    <row r="11" spans="2:9" ht="15" customHeight="1">
      <c r="B11" s="5" t="s">
        <v>65</v>
      </c>
      <c r="C11" s="12">
        <f>ROUND(C8*C9*C10,0)</f>
        <v>5</v>
      </c>
      <c r="D11" s="12">
        <f>ROUND(D8*D9*D10,0)</f>
        <v>23</v>
      </c>
      <c r="E11" s="12">
        <f>ROUND(E8*E9*E10,0)</f>
        <v>68</v>
      </c>
      <c r="F11" s="9" t="s">
        <v>66</v>
      </c>
    </row>
    <row r="13" spans="2:9" ht="15" customHeight="1">
      <c r="B13" s="7" t="s">
        <v>67</v>
      </c>
    </row>
    <row r="14" spans="2:9" ht="15" customHeight="1">
      <c r="H14" s="5" t="s">
        <v>68</v>
      </c>
      <c r="I14" s="5" t="s">
        <v>69</v>
      </c>
    </row>
    <row r="15" spans="2:9" ht="15" customHeight="1">
      <c r="B15" s="1" t="s">
        <v>70</v>
      </c>
      <c r="C15" s="1" t="s">
        <v>168</v>
      </c>
      <c r="F15" s="9" t="s">
        <v>169</v>
      </c>
    </row>
    <row r="16" spans="2:9" ht="15" customHeight="1">
      <c r="B16" s="1" t="s">
        <v>73</v>
      </c>
      <c r="C16" s="13">
        <v>85000</v>
      </c>
      <c r="F16" s="9" t="s">
        <v>170</v>
      </c>
      <c r="H16" s="14">
        <v>85000</v>
      </c>
      <c r="I16" s="15">
        <f>C16-H16</f>
        <v>0</v>
      </c>
    </row>
    <row r="17" spans="2:9" ht="15" customHeight="1">
      <c r="B17" s="1" t="s">
        <v>171</v>
      </c>
      <c r="C17" s="11">
        <v>0.1</v>
      </c>
      <c r="F17" s="9" t="s">
        <v>172</v>
      </c>
    </row>
    <row r="18" spans="2:9" ht="15" customHeight="1">
      <c r="B18" s="5" t="s">
        <v>77</v>
      </c>
      <c r="C18" s="15">
        <f>C16*(1-C17)</f>
        <v>76500</v>
      </c>
      <c r="F18" s="9" t="s">
        <v>78</v>
      </c>
      <c r="H18" s="14">
        <v>70550</v>
      </c>
      <c r="I18" s="15">
        <f>C18-H18</f>
        <v>5950</v>
      </c>
    </row>
    <row r="19" spans="2:9" ht="15" customHeight="1">
      <c r="B19" s="1" t="s">
        <v>79</v>
      </c>
      <c r="C19" s="11">
        <v>0.05</v>
      </c>
    </row>
    <row r="20" spans="2:9" ht="15" customHeight="1">
      <c r="B20" s="5" t="s">
        <v>80</v>
      </c>
      <c r="C20" s="15">
        <f>C18*(1-C19)</f>
        <v>72675</v>
      </c>
    </row>
    <row r="22" spans="2:9" ht="15" customHeight="1">
      <c r="B22" s="7" t="s">
        <v>81</v>
      </c>
    </row>
    <row r="23" spans="2:9" ht="15" customHeight="1">
      <c r="B23" s="5" t="s">
        <v>82</v>
      </c>
      <c r="C23" s="5" t="s">
        <v>83</v>
      </c>
      <c r="D23" s="5" t="s">
        <v>84</v>
      </c>
      <c r="F23" s="5" t="s">
        <v>58</v>
      </c>
      <c r="H23" s="5" t="s">
        <v>85</v>
      </c>
      <c r="I23" s="5" t="s">
        <v>86</v>
      </c>
    </row>
    <row r="24" spans="2:9" ht="15" customHeight="1">
      <c r="B24" s="1" t="s">
        <v>89</v>
      </c>
      <c r="C24" s="11">
        <v>0.55000000000000004</v>
      </c>
      <c r="D24" s="8">
        <v>14</v>
      </c>
      <c r="F24" s="9" t="s">
        <v>173</v>
      </c>
      <c r="H24" s="16">
        <v>0.42</v>
      </c>
      <c r="I24" s="17">
        <v>21</v>
      </c>
    </row>
    <row r="25" spans="2:9" ht="15" customHeight="1">
      <c r="B25" s="1" t="s">
        <v>91</v>
      </c>
      <c r="C25" s="11">
        <v>0.4</v>
      </c>
      <c r="D25" s="8">
        <v>30</v>
      </c>
      <c r="F25" s="9" t="s">
        <v>174</v>
      </c>
      <c r="H25" s="16">
        <v>0.28000000000000003</v>
      </c>
      <c r="I25" s="17">
        <v>45</v>
      </c>
    </row>
    <row r="27" spans="2:9" ht="15" customHeight="1">
      <c r="B27" s="5" t="s">
        <v>93</v>
      </c>
      <c r="C27" s="18">
        <f>C24*C25</f>
        <v>0.22000000000000003</v>
      </c>
      <c r="H27" s="18">
        <f>H24*H25</f>
        <v>0.11760000000000001</v>
      </c>
    </row>
    <row r="28" spans="2:9" ht="15" customHeight="1">
      <c r="B28" s="5" t="s">
        <v>94</v>
      </c>
      <c r="D28" s="12">
        <f>D24+D25</f>
        <v>44</v>
      </c>
      <c r="I28" s="12">
        <f>I24+I25</f>
        <v>66</v>
      </c>
    </row>
    <row r="29" spans="2:9" ht="15" customHeight="1">
      <c r="B29" s="5" t="s">
        <v>95</v>
      </c>
      <c r="C29" s="18">
        <f>C25</f>
        <v>0.4</v>
      </c>
      <c r="H29" s="18">
        <f>H25</f>
        <v>0.28000000000000003</v>
      </c>
      <c r="I29" s="18">
        <f>C29-H29</f>
        <v>0.12</v>
      </c>
    </row>
    <row r="31" spans="2:9" ht="15" customHeight="1">
      <c r="B31" s="7" t="s">
        <v>96</v>
      </c>
    </row>
    <row r="32" spans="2:9" ht="15" customHeight="1">
      <c r="B32" s="5" t="s">
        <v>54</v>
      </c>
      <c r="C32" s="5" t="s">
        <v>55</v>
      </c>
      <c r="D32" s="5" t="s">
        <v>56</v>
      </c>
      <c r="E32" s="5" t="s">
        <v>57</v>
      </c>
      <c r="F32" s="5" t="s">
        <v>58</v>
      </c>
    </row>
    <row r="33" spans="2:6" ht="15" customHeight="1">
      <c r="B33" s="1" t="s">
        <v>97</v>
      </c>
      <c r="C33" s="19">
        <f>C11</f>
        <v>5</v>
      </c>
      <c r="D33" s="19">
        <f>D11</f>
        <v>23</v>
      </c>
      <c r="E33" s="19">
        <f>E11</f>
        <v>68</v>
      </c>
    </row>
    <row r="34" spans="2:6" ht="15" customHeight="1">
      <c r="B34" s="1" t="s">
        <v>98</v>
      </c>
      <c r="C34" s="15">
        <f>C33*C16</f>
        <v>425000</v>
      </c>
      <c r="D34" s="15">
        <f>D33*C16</f>
        <v>1955000</v>
      </c>
      <c r="E34" s="15">
        <f>E33*C16</f>
        <v>5780000</v>
      </c>
    </row>
    <row r="35" spans="2:6" ht="15" customHeight="1">
      <c r="B35" s="5" t="s">
        <v>99</v>
      </c>
      <c r="C35" s="15">
        <f>C33*C20</f>
        <v>363375</v>
      </c>
      <c r="D35" s="15">
        <f>D33*C20</f>
        <v>1671525</v>
      </c>
      <c r="E35" s="15">
        <f>E33*C20</f>
        <v>4941900</v>
      </c>
      <c r="F35" s="9" t="s">
        <v>100</v>
      </c>
    </row>
    <row r="36" spans="2:6" ht="15" customHeight="1">
      <c r="B36" s="1" t="s">
        <v>175</v>
      </c>
      <c r="C36" s="15">
        <f>C34-C35</f>
        <v>61625</v>
      </c>
      <c r="D36" s="15">
        <f>D34-D35</f>
        <v>283475</v>
      </c>
      <c r="E36" s="15">
        <f>E34-E35</f>
        <v>838100</v>
      </c>
    </row>
    <row r="38" spans="2:6" ht="15" customHeight="1">
      <c r="B38" s="7" t="s">
        <v>102</v>
      </c>
    </row>
    <row r="39" spans="2:6" ht="15" customHeight="1">
      <c r="B39" s="5" t="s">
        <v>103</v>
      </c>
      <c r="C39" s="5" t="s">
        <v>55</v>
      </c>
      <c r="D39" s="5" t="s">
        <v>56</v>
      </c>
      <c r="E39" s="5" t="s">
        <v>57</v>
      </c>
      <c r="F39" s="5" t="s">
        <v>58</v>
      </c>
    </row>
    <row r="40" spans="2:6" ht="15" customHeight="1">
      <c r="B40" s="1" t="s">
        <v>104</v>
      </c>
      <c r="C40" s="13">
        <v>0</v>
      </c>
      <c r="D40" s="13">
        <v>0</v>
      </c>
      <c r="E40" s="13">
        <v>65000</v>
      </c>
      <c r="F40" s="9" t="s">
        <v>176</v>
      </c>
    </row>
    <row r="41" spans="2:6" ht="15" customHeight="1">
      <c r="B41" s="1" t="s">
        <v>177</v>
      </c>
      <c r="C41" s="13">
        <v>4000</v>
      </c>
      <c r="D41" s="13">
        <v>8000</v>
      </c>
      <c r="E41" s="13">
        <v>12000</v>
      </c>
      <c r="F41" s="9" t="s">
        <v>178</v>
      </c>
    </row>
    <row r="42" spans="2:6" ht="15" customHeight="1">
      <c r="B42" s="1" t="s">
        <v>108</v>
      </c>
      <c r="C42" s="13">
        <v>2000</v>
      </c>
      <c r="D42" s="13">
        <v>5000</v>
      </c>
      <c r="E42" s="13">
        <v>8000</v>
      </c>
    </row>
    <row r="43" spans="2:6" ht="15" customHeight="1">
      <c r="B43" s="1" t="s">
        <v>109</v>
      </c>
      <c r="C43" s="13">
        <v>0</v>
      </c>
      <c r="D43" s="13">
        <v>2500</v>
      </c>
      <c r="E43" s="13">
        <v>5000</v>
      </c>
    </row>
    <row r="44" spans="2:6" ht="15" customHeight="1">
      <c r="B44" s="5" t="s">
        <v>110</v>
      </c>
      <c r="C44" s="15">
        <f>SUM(C40:C43)</f>
        <v>6000</v>
      </c>
      <c r="D44" s="15">
        <f>SUM(D40:D43)</f>
        <v>15500</v>
      </c>
      <c r="E44" s="15">
        <f>SUM(E40:E43)</f>
        <v>90000</v>
      </c>
      <c r="F44" s="9" t="s">
        <v>111</v>
      </c>
    </row>
    <row r="45" spans="2:6" ht="15" customHeight="1">
      <c r="B45" s="1" t="s">
        <v>179</v>
      </c>
      <c r="C45" s="20">
        <f>C36</f>
        <v>61625</v>
      </c>
      <c r="D45" s="20">
        <f>D36</f>
        <v>283475</v>
      </c>
      <c r="E45" s="20">
        <f>E36</f>
        <v>838100</v>
      </c>
      <c r="F45" s="9" t="s">
        <v>113</v>
      </c>
    </row>
    <row r="46" spans="2:6" ht="15" customHeight="1">
      <c r="B46" s="5" t="s">
        <v>114</v>
      </c>
      <c r="C46" s="15">
        <f>C44+C45</f>
        <v>67625</v>
      </c>
      <c r="D46" s="15">
        <f>D44+D45</f>
        <v>298975</v>
      </c>
      <c r="E46" s="15">
        <f>E44+E45</f>
        <v>928100</v>
      </c>
    </row>
    <row r="48" spans="2:6" ht="15" customHeight="1">
      <c r="B48" s="7" t="s">
        <v>115</v>
      </c>
    </row>
    <row r="49" spans="2:9" ht="15" customHeight="1">
      <c r="B49" s="5" t="s">
        <v>54</v>
      </c>
      <c r="C49" s="5" t="s">
        <v>55</v>
      </c>
      <c r="D49" s="5" t="s">
        <v>56</v>
      </c>
      <c r="E49" s="5" t="s">
        <v>57</v>
      </c>
      <c r="H49" s="5" t="s">
        <v>116</v>
      </c>
      <c r="I49" s="5" t="s">
        <v>69</v>
      </c>
    </row>
    <row r="50" spans="2:9" ht="15" customHeight="1">
      <c r="B50" s="1" t="s">
        <v>117</v>
      </c>
      <c r="C50" s="15">
        <f>IF(C33=0,0,C46/C33)</f>
        <v>13525</v>
      </c>
      <c r="D50" s="15">
        <f>IF(D33=0,0,D46/D33)</f>
        <v>12998.91304347826</v>
      </c>
      <c r="E50" s="15">
        <f>IF(E33=0,0,E46/E33)</f>
        <v>13648.529411764706</v>
      </c>
      <c r="H50" s="21">
        <f>'Revenue Model'!C42</f>
        <v>15000</v>
      </c>
      <c r="I50" s="15">
        <f>C50-H50</f>
        <v>-1475</v>
      </c>
    </row>
    <row r="51" spans="2:9" ht="15" customHeight="1">
      <c r="B51" s="1" t="s">
        <v>118</v>
      </c>
      <c r="C51" s="18">
        <f>IF(C18=0,0,C50/C18)</f>
        <v>0.17679738562091504</v>
      </c>
      <c r="D51" s="18">
        <f>IF(C18=0,0,D50/C18)</f>
        <v>0.16992043194089229</v>
      </c>
      <c r="E51" s="18">
        <f>IF(C18=0,0,E50/C18)</f>
        <v>0.17841214917339485</v>
      </c>
      <c r="F51" s="9" t="s">
        <v>119</v>
      </c>
    </row>
    <row r="52" spans="2:9" ht="15" customHeight="1">
      <c r="B52" s="1" t="s">
        <v>120</v>
      </c>
      <c r="C52" s="22">
        <f>C51*12</f>
        <v>2.1215686274509804</v>
      </c>
      <c r="D52" s="22">
        <f>D51*12</f>
        <v>2.0390451832907077</v>
      </c>
      <c r="E52" s="22">
        <f>E51*12</f>
        <v>2.140945790080738</v>
      </c>
      <c r="F52" s="9" t="s">
        <v>121</v>
      </c>
    </row>
    <row r="53" spans="2:9" ht="15" customHeight="1">
      <c r="B53" s="1" t="s">
        <v>122</v>
      </c>
      <c r="C53" s="23">
        <f>IF(C46=0,0,C35/C46)</f>
        <v>5.3733826247689462</v>
      </c>
      <c r="D53" s="23">
        <f>IF(D46=0,0,D35/D46)</f>
        <v>5.5908520779329374</v>
      </c>
      <c r="E53" s="23">
        <f>IF(E46=0,0,E35/E46)</f>
        <v>5.3247494882017028</v>
      </c>
      <c r="F53" s="9" t="s">
        <v>123</v>
      </c>
    </row>
    <row r="55" spans="2:9" ht="15" customHeight="1">
      <c r="B55" s="7" t="s">
        <v>124</v>
      </c>
    </row>
    <row r="56" spans="2:9" ht="15" customHeight="1">
      <c r="B56" s="5" t="s">
        <v>125</v>
      </c>
      <c r="C56" s="5" t="s">
        <v>126</v>
      </c>
      <c r="D56" s="5" t="s">
        <v>127</v>
      </c>
      <c r="E56" s="5" t="s">
        <v>128</v>
      </c>
    </row>
    <row r="57" spans="2:9" ht="45.75" customHeight="1">
      <c r="B57" s="1" t="s">
        <v>180</v>
      </c>
      <c r="C57" s="1" t="s">
        <v>131</v>
      </c>
      <c r="D57" s="1" t="s">
        <v>130</v>
      </c>
      <c r="E57" s="24" t="s">
        <v>181</v>
      </c>
    </row>
    <row r="58" spans="2:9" ht="45.75" customHeight="1">
      <c r="B58" s="1" t="s">
        <v>182</v>
      </c>
      <c r="C58" s="1" t="s">
        <v>131</v>
      </c>
      <c r="D58" s="1" t="s">
        <v>130</v>
      </c>
      <c r="E58" s="24" t="s">
        <v>183</v>
      </c>
    </row>
    <row r="59" spans="2:9" ht="34.5" customHeight="1">
      <c r="B59" s="1" t="s">
        <v>184</v>
      </c>
      <c r="C59" s="1" t="s">
        <v>185</v>
      </c>
      <c r="D59" s="1" t="s">
        <v>131</v>
      </c>
      <c r="E59" s="24" t="s">
        <v>186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C3E50"/>
  </sheetPr>
  <dimension ref="A2:I59"/>
  <sheetViews>
    <sheetView zoomScaleNormal="100" workbookViewId="0"/>
  </sheetViews>
  <sheetFormatPr defaultColWidth="8.7109375" defaultRowHeight="15"/>
  <cols>
    <col min="1" max="1" width="2" style="1" customWidth="1"/>
    <col min="2" max="2" width="42" style="1" customWidth="1"/>
    <col min="3" max="5" width="18" style="1" customWidth="1"/>
    <col min="6" max="6" width="30" style="1" customWidth="1"/>
    <col min="7" max="7" width="3" style="1" customWidth="1"/>
    <col min="8" max="8" width="18" style="1" customWidth="1"/>
    <col min="9" max="9" width="22" style="1" customWidth="1"/>
  </cols>
  <sheetData>
    <row r="2" spans="2:9" ht="17.25" customHeight="1">
      <c r="B2" s="2" t="s">
        <v>187</v>
      </c>
    </row>
    <row r="3" spans="2:9" ht="15" customHeight="1">
      <c r="B3" s="3" t="s">
        <v>188</v>
      </c>
    </row>
    <row r="6" spans="2:9" ht="15" customHeight="1">
      <c r="B6" s="7" t="s">
        <v>53</v>
      </c>
    </row>
    <row r="7" spans="2:9" ht="15" customHeight="1"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</row>
    <row r="8" spans="2:9" ht="15" customHeight="1">
      <c r="B8" s="1" t="s">
        <v>59</v>
      </c>
      <c r="C8" s="8">
        <v>1</v>
      </c>
      <c r="D8" s="8">
        <v>2</v>
      </c>
      <c r="E8" s="8">
        <v>4</v>
      </c>
      <c r="F8" s="9" t="s">
        <v>189</v>
      </c>
    </row>
    <row r="9" spans="2:9" ht="15" customHeight="1">
      <c r="B9" s="1" t="s">
        <v>61</v>
      </c>
      <c r="C9" s="10">
        <v>3</v>
      </c>
      <c r="D9" s="10">
        <v>5</v>
      </c>
      <c r="E9" s="10">
        <v>7</v>
      </c>
      <c r="F9" s="9" t="s">
        <v>190</v>
      </c>
    </row>
    <row r="10" spans="2:9" ht="15" customHeight="1">
      <c r="B10" s="1" t="s">
        <v>63</v>
      </c>
      <c r="C10" s="11">
        <v>0.3</v>
      </c>
      <c r="D10" s="11">
        <v>0.65</v>
      </c>
      <c r="E10" s="11">
        <v>0.85</v>
      </c>
      <c r="F10" s="9" t="s">
        <v>191</v>
      </c>
    </row>
    <row r="11" spans="2:9" ht="15" customHeight="1">
      <c r="B11" s="5" t="s">
        <v>65</v>
      </c>
      <c r="C11" s="12">
        <f>ROUND(C8*C9*C10,0)</f>
        <v>1</v>
      </c>
      <c r="D11" s="12">
        <f>ROUND(D8*D9*D10,0)</f>
        <v>7</v>
      </c>
      <c r="E11" s="12">
        <f>ROUND(E8*E9*E10,0)</f>
        <v>24</v>
      </c>
      <c r="F11" s="9" t="s">
        <v>66</v>
      </c>
    </row>
    <row r="13" spans="2:9" ht="15" customHeight="1">
      <c r="B13" s="7" t="s">
        <v>67</v>
      </c>
    </row>
    <row r="14" spans="2:9" ht="15" customHeight="1">
      <c r="H14" s="5" t="s">
        <v>68</v>
      </c>
      <c r="I14" s="5" t="s">
        <v>69</v>
      </c>
    </row>
    <row r="15" spans="2:9" ht="15" customHeight="1">
      <c r="B15" s="1" t="s">
        <v>70</v>
      </c>
      <c r="C15" s="1" t="s">
        <v>192</v>
      </c>
      <c r="F15" s="9" t="s">
        <v>193</v>
      </c>
    </row>
    <row r="16" spans="2:9" ht="15" customHeight="1">
      <c r="B16" s="1" t="s">
        <v>73</v>
      </c>
      <c r="C16" s="13">
        <v>120000</v>
      </c>
      <c r="F16" s="9" t="s">
        <v>194</v>
      </c>
      <c r="H16" s="14">
        <v>85000</v>
      </c>
      <c r="I16" s="15">
        <f>C16-H16</f>
        <v>35000</v>
      </c>
    </row>
    <row r="17" spans="2:9" ht="15" customHeight="1">
      <c r="B17" s="1" t="s">
        <v>195</v>
      </c>
      <c r="C17" s="11">
        <v>0.18</v>
      </c>
      <c r="F17" s="9" t="s">
        <v>196</v>
      </c>
    </row>
    <row r="18" spans="2:9" ht="15" customHeight="1">
      <c r="B18" s="5" t="s">
        <v>77</v>
      </c>
      <c r="C18" s="15">
        <f>C16*(1-C17)</f>
        <v>98400.000000000015</v>
      </c>
      <c r="F18" s="9" t="s">
        <v>78</v>
      </c>
      <c r="H18" s="14">
        <v>70550</v>
      </c>
      <c r="I18" s="15">
        <f>C18-H18</f>
        <v>27850.000000000015</v>
      </c>
    </row>
    <row r="19" spans="2:9" ht="15" customHeight="1">
      <c r="B19" s="1" t="s">
        <v>79</v>
      </c>
      <c r="C19" s="11">
        <v>0.05</v>
      </c>
    </row>
    <row r="20" spans="2:9" ht="15" customHeight="1">
      <c r="B20" s="5" t="s">
        <v>80</v>
      </c>
      <c r="C20" s="15">
        <f>C18*(1-C19)</f>
        <v>93480.000000000015</v>
      </c>
    </row>
    <row r="22" spans="2:9" ht="15" customHeight="1">
      <c r="B22" s="7" t="s">
        <v>81</v>
      </c>
    </row>
    <row r="23" spans="2:9" ht="15" customHeight="1">
      <c r="B23" s="5" t="s">
        <v>82</v>
      </c>
      <c r="C23" s="5" t="s">
        <v>83</v>
      </c>
      <c r="D23" s="5" t="s">
        <v>84</v>
      </c>
      <c r="F23" s="5" t="s">
        <v>58</v>
      </c>
      <c r="H23" s="5" t="s">
        <v>85</v>
      </c>
      <c r="I23" s="5" t="s">
        <v>86</v>
      </c>
    </row>
    <row r="24" spans="2:9" ht="15" customHeight="1">
      <c r="B24" s="1" t="s">
        <v>197</v>
      </c>
      <c r="C24" s="11">
        <v>0.5</v>
      </c>
      <c r="D24" s="8">
        <v>40</v>
      </c>
      <c r="F24" s="9" t="s">
        <v>198</v>
      </c>
      <c r="H24" s="16">
        <v>0.28000000000000003</v>
      </c>
      <c r="I24" s="17">
        <v>45</v>
      </c>
    </row>
    <row r="26" spans="2:9" ht="15" customHeight="1">
      <c r="B26" s="5" t="s">
        <v>93</v>
      </c>
      <c r="C26" s="18">
        <f>C24</f>
        <v>0.5</v>
      </c>
      <c r="H26" s="18">
        <f>H24</f>
        <v>0.28000000000000003</v>
      </c>
    </row>
    <row r="27" spans="2:9" ht="15" customHeight="1">
      <c r="B27" s="5" t="s">
        <v>94</v>
      </c>
      <c r="D27" s="12">
        <f>D24</f>
        <v>40</v>
      </c>
      <c r="I27" s="12">
        <f>I24</f>
        <v>45</v>
      </c>
    </row>
    <row r="28" spans="2:9" ht="15" customHeight="1">
      <c r="B28" s="5" t="s">
        <v>95</v>
      </c>
      <c r="C28" s="18">
        <f>C24</f>
        <v>0.5</v>
      </c>
      <c r="H28" s="18">
        <f>H24</f>
        <v>0.28000000000000003</v>
      </c>
      <c r="I28" s="18">
        <f>C28-H28</f>
        <v>0.21999999999999997</v>
      </c>
    </row>
    <row r="30" spans="2:9" ht="15" customHeight="1">
      <c r="B30" s="7" t="s">
        <v>96</v>
      </c>
    </row>
    <row r="31" spans="2:9" ht="15" customHeight="1">
      <c r="B31" s="5" t="s">
        <v>54</v>
      </c>
      <c r="C31" s="5" t="s">
        <v>55</v>
      </c>
      <c r="D31" s="5" t="s">
        <v>56</v>
      </c>
      <c r="E31" s="5" t="s">
        <v>57</v>
      </c>
      <c r="F31" s="5" t="s">
        <v>58</v>
      </c>
    </row>
    <row r="32" spans="2:9" ht="15" customHeight="1">
      <c r="B32" s="1" t="s">
        <v>97</v>
      </c>
      <c r="C32" s="19">
        <f>C11</f>
        <v>1</v>
      </c>
      <c r="D32" s="19">
        <f>D11</f>
        <v>7</v>
      </c>
      <c r="E32" s="19">
        <f>E11</f>
        <v>24</v>
      </c>
    </row>
    <row r="33" spans="2:9" ht="15" customHeight="1">
      <c r="B33" s="1" t="s">
        <v>98</v>
      </c>
      <c r="C33" s="15">
        <f>C32*C16</f>
        <v>120000</v>
      </c>
      <c r="D33" s="15">
        <f>D32*C16</f>
        <v>840000</v>
      </c>
      <c r="E33" s="15">
        <f>E32*C16</f>
        <v>2880000</v>
      </c>
    </row>
    <row r="34" spans="2:9" ht="15" customHeight="1">
      <c r="B34" s="5" t="s">
        <v>99</v>
      </c>
      <c r="C34" s="15">
        <f>C32*C20</f>
        <v>93480.000000000015</v>
      </c>
      <c r="D34" s="15">
        <f>D32*C20</f>
        <v>654360.00000000012</v>
      </c>
      <c r="E34" s="15">
        <f>E32*C20</f>
        <v>2243520.0000000005</v>
      </c>
      <c r="F34" s="9" t="s">
        <v>100</v>
      </c>
    </row>
    <row r="35" spans="2:9" ht="15" customHeight="1">
      <c r="B35" s="1" t="s">
        <v>199</v>
      </c>
      <c r="C35" s="15">
        <f>C33-C34</f>
        <v>26519.999999999985</v>
      </c>
      <c r="D35" s="15">
        <f>D33-D34</f>
        <v>185639.99999999988</v>
      </c>
      <c r="E35" s="15">
        <f>E33-E34</f>
        <v>636479.99999999953</v>
      </c>
    </row>
    <row r="37" spans="2:9" ht="15" customHeight="1">
      <c r="B37" s="7" t="s">
        <v>102</v>
      </c>
    </row>
    <row r="38" spans="2:9" ht="15" customHeight="1">
      <c r="B38" s="5" t="s">
        <v>103</v>
      </c>
      <c r="C38" s="5" t="s">
        <v>55</v>
      </c>
      <c r="D38" s="5" t="s">
        <v>56</v>
      </c>
      <c r="E38" s="5" t="s">
        <v>57</v>
      </c>
      <c r="F38" s="5" t="s">
        <v>58</v>
      </c>
    </row>
    <row r="39" spans="2:9" ht="15" customHeight="1">
      <c r="B39" s="1" t="s">
        <v>104</v>
      </c>
      <c r="C39" s="13">
        <v>0</v>
      </c>
      <c r="D39" s="13">
        <v>130000</v>
      </c>
      <c r="E39" s="13">
        <v>140000</v>
      </c>
      <c r="F39" s="9" t="s">
        <v>200</v>
      </c>
    </row>
    <row r="40" spans="2:9" ht="15" customHeight="1">
      <c r="B40" s="1" t="s">
        <v>201</v>
      </c>
      <c r="C40" s="13">
        <v>18000</v>
      </c>
      <c r="D40" s="13">
        <v>50000</v>
      </c>
      <c r="E40" s="13">
        <v>90000</v>
      </c>
      <c r="F40" s="9" t="s">
        <v>202</v>
      </c>
    </row>
    <row r="41" spans="2:9" ht="15" customHeight="1">
      <c r="B41" s="1" t="s">
        <v>108</v>
      </c>
      <c r="C41" s="13">
        <v>5000</v>
      </c>
      <c r="D41" s="13">
        <v>12000</v>
      </c>
      <c r="E41" s="13">
        <v>25000</v>
      </c>
    </row>
    <row r="42" spans="2:9" ht="15" customHeight="1">
      <c r="B42" s="1" t="s">
        <v>109</v>
      </c>
      <c r="C42" s="13">
        <v>0</v>
      </c>
      <c r="D42" s="13">
        <v>5000</v>
      </c>
      <c r="E42" s="13">
        <v>10000</v>
      </c>
    </row>
    <row r="43" spans="2:9" ht="15" customHeight="1">
      <c r="B43" s="5" t="s">
        <v>110</v>
      </c>
      <c r="C43" s="15">
        <f>SUM(C39:C42)</f>
        <v>23000</v>
      </c>
      <c r="D43" s="15">
        <f>SUM(D39:D42)</f>
        <v>197000</v>
      </c>
      <c r="E43" s="15">
        <f>SUM(E39:E42)</f>
        <v>265000</v>
      </c>
      <c r="F43" s="9" t="s">
        <v>111</v>
      </c>
    </row>
    <row r="44" spans="2:9" ht="15" customHeight="1">
      <c r="B44" s="1" t="s">
        <v>203</v>
      </c>
      <c r="C44" s="20">
        <f>C35</f>
        <v>26519.999999999985</v>
      </c>
      <c r="D44" s="20">
        <f>D35</f>
        <v>185639.99999999988</v>
      </c>
      <c r="E44" s="20">
        <f>E35</f>
        <v>636479.99999999953</v>
      </c>
      <c r="F44" s="9" t="s">
        <v>113</v>
      </c>
    </row>
    <row r="45" spans="2:9" ht="15" customHeight="1">
      <c r="B45" s="5" t="s">
        <v>114</v>
      </c>
      <c r="C45" s="15">
        <f>C43+C44</f>
        <v>49519.999999999985</v>
      </c>
      <c r="D45" s="15">
        <f>D43+D44</f>
        <v>382639.99999999988</v>
      </c>
      <c r="E45" s="15">
        <f>E43+E44</f>
        <v>901479.99999999953</v>
      </c>
    </row>
    <row r="47" spans="2:9" ht="15" customHeight="1">
      <c r="B47" s="7" t="s">
        <v>115</v>
      </c>
    </row>
    <row r="48" spans="2:9" ht="15" customHeight="1">
      <c r="B48" s="5" t="s">
        <v>54</v>
      </c>
      <c r="C48" s="5" t="s">
        <v>55</v>
      </c>
      <c r="D48" s="5" t="s">
        <v>56</v>
      </c>
      <c r="E48" s="5" t="s">
        <v>57</v>
      </c>
      <c r="H48" s="5" t="s">
        <v>116</v>
      </c>
      <c r="I48" s="5" t="s">
        <v>69</v>
      </c>
    </row>
    <row r="49" spans="2:9" ht="15" customHeight="1">
      <c r="B49" s="1" t="s">
        <v>117</v>
      </c>
      <c r="C49" s="15">
        <f>IF(C32=0,0,C45/C32)</f>
        <v>49519.999999999985</v>
      </c>
      <c r="D49" s="15">
        <f>IF(D32=0,0,D45/D32)</f>
        <v>54662.857142857123</v>
      </c>
      <c r="E49" s="15">
        <f>IF(E32=0,0,E45/E32)</f>
        <v>37561.66666666665</v>
      </c>
      <c r="H49" s="21">
        <f>'Revenue Model'!C42</f>
        <v>15000</v>
      </c>
      <c r="I49" s="15">
        <f>C49-H49</f>
        <v>34519.999999999985</v>
      </c>
    </row>
    <row r="50" spans="2:9" ht="15" customHeight="1">
      <c r="B50" s="1" t="s">
        <v>118</v>
      </c>
      <c r="C50" s="18">
        <f>IF(C18=0,0,C49/C18)</f>
        <v>0.50325203252032502</v>
      </c>
      <c r="D50" s="18">
        <f>IF(C18=0,0,D49/C18)</f>
        <v>0.55551684088269426</v>
      </c>
      <c r="E50" s="18">
        <f>IF(C18=0,0,E49/C18)</f>
        <v>0.38172425474254718</v>
      </c>
      <c r="F50" s="9" t="s">
        <v>119</v>
      </c>
    </row>
    <row r="51" spans="2:9" ht="15" customHeight="1">
      <c r="B51" s="1" t="s">
        <v>120</v>
      </c>
      <c r="C51" s="22">
        <f>C50*12</f>
        <v>6.0390243902439007</v>
      </c>
      <c r="D51" s="22">
        <f>D50*12</f>
        <v>6.6662020905923312</v>
      </c>
      <c r="E51" s="22">
        <f>E50*12</f>
        <v>4.5806910569105659</v>
      </c>
      <c r="F51" s="9" t="s">
        <v>121</v>
      </c>
    </row>
    <row r="52" spans="2:9" ht="15" customHeight="1">
      <c r="B52" s="1" t="s">
        <v>122</v>
      </c>
      <c r="C52" s="23">
        <f>IF(C45=0,0,C34/C45)</f>
        <v>1.8877221324717295</v>
      </c>
      <c r="D52" s="23">
        <f>IF(D45=0,0,D34/D45)</f>
        <v>1.7101191720677407</v>
      </c>
      <c r="E52" s="23">
        <f>IF(E45=0,0,E34/E45)</f>
        <v>2.4887074588454561</v>
      </c>
      <c r="F52" s="9" t="s">
        <v>123</v>
      </c>
    </row>
    <row r="54" spans="2:9" ht="15" customHeight="1">
      <c r="B54" s="7" t="s">
        <v>124</v>
      </c>
    </row>
    <row r="55" spans="2:9" ht="15" customHeight="1">
      <c r="B55" s="5" t="s">
        <v>125</v>
      </c>
      <c r="C55" s="5" t="s">
        <v>126</v>
      </c>
      <c r="D55" s="5" t="s">
        <v>127</v>
      </c>
      <c r="E55" s="5" t="s">
        <v>128</v>
      </c>
    </row>
    <row r="56" spans="2:9" ht="34.5" customHeight="1">
      <c r="B56" s="1" t="s">
        <v>204</v>
      </c>
      <c r="C56" s="1" t="s">
        <v>205</v>
      </c>
      <c r="D56" s="1" t="s">
        <v>131</v>
      </c>
      <c r="E56" s="24" t="s">
        <v>206</v>
      </c>
    </row>
    <row r="57" spans="2:9" ht="45.75" customHeight="1">
      <c r="B57" s="1" t="s">
        <v>207</v>
      </c>
      <c r="C57" s="1" t="s">
        <v>130</v>
      </c>
      <c r="D57" s="1" t="s">
        <v>131</v>
      </c>
      <c r="E57" s="24" t="s">
        <v>208</v>
      </c>
    </row>
    <row r="58" spans="2:9" ht="45.75" customHeight="1">
      <c r="B58" s="1" t="s">
        <v>209</v>
      </c>
      <c r="C58" s="1" t="s">
        <v>131</v>
      </c>
      <c r="D58" s="1" t="s">
        <v>130</v>
      </c>
      <c r="E58" s="24" t="s">
        <v>210</v>
      </c>
    </row>
    <row r="59" spans="2:9" ht="45.75" customHeight="1">
      <c r="B59" s="1" t="s">
        <v>211</v>
      </c>
      <c r="C59" s="1" t="s">
        <v>130</v>
      </c>
      <c r="D59" s="1" t="s">
        <v>131</v>
      </c>
      <c r="E59" s="24" t="s">
        <v>212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C3E50"/>
  </sheetPr>
  <dimension ref="A2:I32"/>
  <sheetViews>
    <sheetView zoomScaleNormal="100" workbookViewId="0"/>
  </sheetViews>
  <sheetFormatPr defaultColWidth="8.7109375" defaultRowHeight="15"/>
  <cols>
    <col min="1" max="1" width="2" style="1" customWidth="1"/>
    <col min="2" max="2" width="42" style="1" customWidth="1"/>
    <col min="3" max="7" width="20" style="1" customWidth="1"/>
    <col min="8" max="8" width="18" style="1" customWidth="1"/>
    <col min="9" max="9" width="22" style="1" customWidth="1"/>
  </cols>
  <sheetData>
    <row r="2" spans="2:7" ht="17.25" customHeight="1">
      <c r="B2" s="2" t="s">
        <v>213</v>
      </c>
    </row>
    <row r="3" spans="2:7" ht="15" customHeight="1">
      <c r="B3" s="3" t="s">
        <v>214</v>
      </c>
    </row>
    <row r="6" spans="2:7" ht="15" customHeight="1">
      <c r="B6" s="25" t="s">
        <v>54</v>
      </c>
      <c r="C6" s="25" t="s">
        <v>215</v>
      </c>
      <c r="D6" s="25" t="s">
        <v>216</v>
      </c>
      <c r="E6" s="25" t="s">
        <v>3</v>
      </c>
      <c r="F6" s="25" t="s">
        <v>217</v>
      </c>
      <c r="G6" s="25" t="s">
        <v>218</v>
      </c>
    </row>
    <row r="7" spans="2:7" ht="15" customHeight="1">
      <c r="B7" s="7" t="s">
        <v>219</v>
      </c>
    </row>
    <row r="8" spans="2:7" ht="15" customHeight="1">
      <c r="B8" s="5" t="s">
        <v>220</v>
      </c>
      <c r="C8" s="26" t="s">
        <v>221</v>
      </c>
      <c r="D8" s="27" t="str">
        <f>'Tech Ecosystem'!C15</f>
        <v>SAL</v>
      </c>
      <c r="E8" s="27" t="str">
        <f>'Channel Reseller'!C15</f>
        <v>Opportunity (partner-managed)</v>
      </c>
      <c r="F8" s="27" t="str">
        <f>Referral!C15</f>
        <v>SQL</v>
      </c>
      <c r="G8" s="27" t="str">
        <f>'Services SI'!C15</f>
        <v>Opportunity</v>
      </c>
    </row>
    <row r="9" spans="2:7" ht="15" customHeight="1">
      <c r="B9" s="5" t="s">
        <v>73</v>
      </c>
      <c r="C9" s="28">
        <v>85000</v>
      </c>
      <c r="D9" s="20">
        <f>'Tech Ecosystem'!C16</f>
        <v>90000</v>
      </c>
      <c r="E9" s="20">
        <f>'Channel Reseller'!C16</f>
        <v>85000</v>
      </c>
      <c r="F9" s="20">
        <f>Referral!C16</f>
        <v>85000</v>
      </c>
      <c r="G9" s="20">
        <f>'Services SI'!C16</f>
        <v>120000</v>
      </c>
    </row>
    <row r="10" spans="2:7" ht="15" customHeight="1">
      <c r="B10" s="5" t="s">
        <v>222</v>
      </c>
      <c r="C10" s="28">
        <v>70550</v>
      </c>
      <c r="D10" s="20">
        <f>'Tech Ecosystem'!C18</f>
        <v>76500</v>
      </c>
      <c r="E10" s="20">
        <f>'Channel Reseller'!C18</f>
        <v>63750</v>
      </c>
      <c r="F10" s="20">
        <f>Referral!C18</f>
        <v>76500</v>
      </c>
      <c r="G10" s="20">
        <f>'Services SI'!C18</f>
        <v>98400.000000000015</v>
      </c>
    </row>
    <row r="11" spans="2:7" ht="15" customHeight="1">
      <c r="B11" s="5" t="s">
        <v>223</v>
      </c>
      <c r="C11" s="26" t="s">
        <v>224</v>
      </c>
      <c r="D11" s="29">
        <f>'Tech Ecosystem'!C17</f>
        <v>0.15</v>
      </c>
      <c r="E11" s="29">
        <f>'Channel Reseller'!C17</f>
        <v>0.25</v>
      </c>
      <c r="F11" s="29">
        <f>Referral!C17</f>
        <v>0.1</v>
      </c>
      <c r="G11" s="29">
        <f>'Services SI'!C17</f>
        <v>0.18</v>
      </c>
    </row>
    <row r="12" spans="2:7" ht="15" customHeight="1">
      <c r="B12" s="5" t="s">
        <v>95</v>
      </c>
      <c r="C12" s="30">
        <v>0.25</v>
      </c>
      <c r="D12" s="29">
        <f>'Tech Ecosystem'!C30</f>
        <v>0.38</v>
      </c>
      <c r="E12" s="29">
        <f>'Channel Reseller'!C29</f>
        <v>0.3</v>
      </c>
      <c r="F12" s="29">
        <f>Referral!C29</f>
        <v>0.4</v>
      </c>
      <c r="G12" s="29">
        <f>'Services SI'!C28</f>
        <v>0.5</v>
      </c>
    </row>
    <row r="14" spans="2:7" ht="15" customHeight="1">
      <c r="B14" s="7" t="s">
        <v>225</v>
      </c>
    </row>
    <row r="15" spans="2:7" ht="15" customHeight="1">
      <c r="B15" s="5" t="s">
        <v>59</v>
      </c>
      <c r="C15" s="31"/>
      <c r="D15" s="19">
        <f>'Tech Ecosystem'!E8</f>
        <v>7</v>
      </c>
      <c r="E15" s="19">
        <f>'Channel Reseller'!E8</f>
        <v>5</v>
      </c>
      <c r="F15" s="19">
        <f>Referral!E8</f>
        <v>30</v>
      </c>
      <c r="G15" s="19">
        <f>'Services SI'!E8</f>
        <v>4</v>
      </c>
    </row>
    <row r="16" spans="2:7" ht="15" customHeight="1">
      <c r="B16" s="5" t="s">
        <v>226</v>
      </c>
      <c r="C16" s="8">
        <v>60</v>
      </c>
      <c r="D16" s="19">
        <f>'Tech Ecosystem'!E11</f>
        <v>50</v>
      </c>
      <c r="E16" s="19">
        <f>'Channel Reseller'!E11</f>
        <v>47</v>
      </c>
      <c r="F16" s="19">
        <f>Referral!E11</f>
        <v>68</v>
      </c>
      <c r="G16" s="19">
        <f>'Services SI'!E11</f>
        <v>24</v>
      </c>
    </row>
    <row r="17" spans="2:7" ht="15" customHeight="1">
      <c r="B17" s="5" t="s">
        <v>227</v>
      </c>
      <c r="C17" s="26" t="s">
        <v>224</v>
      </c>
      <c r="D17" s="20">
        <f>'Tech Ecosystem'!E36</f>
        <v>3519000</v>
      </c>
      <c r="E17" s="20">
        <f>'Channel Reseller'!E35</f>
        <v>2846437.5</v>
      </c>
      <c r="F17" s="20">
        <f>Referral!E35</f>
        <v>4941900</v>
      </c>
      <c r="G17" s="20">
        <f>'Services SI'!E34</f>
        <v>2243520.0000000005</v>
      </c>
    </row>
    <row r="18" spans="2:7" ht="15" customHeight="1">
      <c r="B18" s="32" t="s">
        <v>228</v>
      </c>
      <c r="D18" s="12">
        <f>SUM(D16:G16)</f>
        <v>189</v>
      </c>
    </row>
    <row r="19" spans="2:7" ht="15" customHeight="1">
      <c r="B19" s="32" t="s">
        <v>229</v>
      </c>
      <c r="D19" s="15">
        <f>SUM(D17:G17)</f>
        <v>13550857.5</v>
      </c>
    </row>
    <row r="21" spans="2:7" ht="15" customHeight="1">
      <c r="B21" s="7" t="s">
        <v>230</v>
      </c>
    </row>
    <row r="22" spans="2:7" ht="15" customHeight="1">
      <c r="B22" s="5" t="s">
        <v>231</v>
      </c>
      <c r="C22" s="33">
        <f>'Revenue Model'!E38</f>
        <v>15000</v>
      </c>
      <c r="D22" s="20">
        <f>'Tech Ecosystem'!E51</f>
        <v>24820</v>
      </c>
      <c r="E22" s="20">
        <f>'Channel Reseller'!E50</f>
        <v>32522.606382978724</v>
      </c>
      <c r="F22" s="20">
        <f>Referral!E50</f>
        <v>13648.529411764706</v>
      </c>
      <c r="G22" s="20">
        <f>'Services SI'!E49</f>
        <v>37561.66666666665</v>
      </c>
    </row>
    <row r="23" spans="2:7" ht="15" customHeight="1">
      <c r="B23" s="5" t="s">
        <v>118</v>
      </c>
      <c r="C23" s="18">
        <f>IF(C10=0,0,C22/C10)</f>
        <v>0.21261516654854712</v>
      </c>
      <c r="D23" s="29">
        <f>'Tech Ecosystem'!E52</f>
        <v>0.32444444444444442</v>
      </c>
      <c r="E23" s="29">
        <f>'Channel Reseller'!E51</f>
        <v>0.51015853149770551</v>
      </c>
      <c r="F23" s="29">
        <f>Referral!E51</f>
        <v>0.17841214917339485</v>
      </c>
      <c r="G23" s="29">
        <f>'Services SI'!E50</f>
        <v>0.38172425474254718</v>
      </c>
    </row>
    <row r="24" spans="2:7" ht="15" customHeight="1">
      <c r="B24" s="5" t="s">
        <v>120</v>
      </c>
      <c r="C24" s="22">
        <f>C23*12</f>
        <v>2.5513819985825652</v>
      </c>
      <c r="D24" s="34">
        <f>'Tech Ecosystem'!E53</f>
        <v>3.8933333333333331</v>
      </c>
      <c r="E24" s="34">
        <f>'Channel Reseller'!E52</f>
        <v>6.1219023779724662</v>
      </c>
      <c r="F24" s="34">
        <f>Referral!E52</f>
        <v>2.140945790080738</v>
      </c>
      <c r="G24" s="34">
        <f>'Services SI'!E51</f>
        <v>4.5806910569105659</v>
      </c>
    </row>
    <row r="25" spans="2:7" ht="15" customHeight="1">
      <c r="B25" s="5" t="s">
        <v>122</v>
      </c>
      <c r="C25" s="26" t="s">
        <v>224</v>
      </c>
      <c r="D25" s="35">
        <f>'Tech Ecosystem'!E54</f>
        <v>2.8356164383561642</v>
      </c>
      <c r="E25" s="35">
        <f>'Channel Reseller'!E53</f>
        <v>1.8621662509710921</v>
      </c>
      <c r="F25" s="35">
        <f>Referral!E53</f>
        <v>5.3247494882017028</v>
      </c>
      <c r="G25" s="35">
        <f>'Services SI'!E52</f>
        <v>2.4887074588454561</v>
      </c>
    </row>
    <row r="27" spans="2:7" ht="15" customHeight="1">
      <c r="B27" s="7" t="s">
        <v>232</v>
      </c>
    </row>
    <row r="28" spans="2:7" ht="15" customHeight="1">
      <c r="B28" s="5" t="s">
        <v>233</v>
      </c>
      <c r="C28" s="26" t="s">
        <v>224</v>
      </c>
      <c r="D28" s="1" t="s">
        <v>234</v>
      </c>
      <c r="E28" s="1" t="s">
        <v>235</v>
      </c>
      <c r="F28" s="1" t="s">
        <v>236</v>
      </c>
      <c r="G28" s="1" t="s">
        <v>234</v>
      </c>
    </row>
    <row r="29" spans="2:7" ht="15" customHeight="1">
      <c r="B29" s="5" t="s">
        <v>237</v>
      </c>
      <c r="C29" s="26" t="s">
        <v>224</v>
      </c>
      <c r="D29" s="1" t="s">
        <v>238</v>
      </c>
      <c r="E29" s="1" t="s">
        <v>239</v>
      </c>
      <c r="F29" s="1" t="s">
        <v>240</v>
      </c>
      <c r="G29" s="1" t="s">
        <v>241</v>
      </c>
    </row>
    <row r="30" spans="2:7" ht="15" customHeight="1">
      <c r="B30" s="5" t="s">
        <v>21</v>
      </c>
      <c r="C30" s="26" t="s">
        <v>242</v>
      </c>
      <c r="D30" s="1" t="s">
        <v>243</v>
      </c>
      <c r="E30" s="1" t="s">
        <v>244</v>
      </c>
      <c r="F30" s="1" t="s">
        <v>245</v>
      </c>
      <c r="G30" s="1" t="s">
        <v>246</v>
      </c>
    </row>
    <row r="31" spans="2:7" ht="15" customHeight="1">
      <c r="B31" s="5" t="s">
        <v>247</v>
      </c>
      <c r="C31" s="26" t="s">
        <v>224</v>
      </c>
      <c r="D31" s="1" t="s">
        <v>248</v>
      </c>
      <c r="E31" s="1" t="s">
        <v>249</v>
      </c>
      <c r="F31" s="1" t="s">
        <v>250</v>
      </c>
      <c r="G31" s="1" t="s">
        <v>251</v>
      </c>
    </row>
    <row r="32" spans="2:7" ht="15" customHeight="1">
      <c r="B32" s="5" t="s">
        <v>252</v>
      </c>
      <c r="C32" s="26" t="s">
        <v>224</v>
      </c>
      <c r="D32" s="1" t="s">
        <v>253</v>
      </c>
      <c r="E32" s="1" t="s">
        <v>254</v>
      </c>
      <c r="F32" s="1" t="s">
        <v>255</v>
      </c>
      <c r="G32" s="1" t="s">
        <v>256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C3E50"/>
  </sheetPr>
  <dimension ref="A2:I42"/>
  <sheetViews>
    <sheetView zoomScaleNormal="100" workbookViewId="0"/>
  </sheetViews>
  <sheetFormatPr defaultColWidth="8.7109375" defaultRowHeight="15"/>
  <cols>
    <col min="1" max="1" width="2" style="1" customWidth="1"/>
    <col min="2" max="2" width="42" style="1" customWidth="1"/>
    <col min="3" max="5" width="18" style="1" customWidth="1"/>
    <col min="6" max="6" width="30" style="1" customWidth="1"/>
    <col min="7" max="7" width="3" style="1" customWidth="1"/>
    <col min="8" max="8" width="18" style="1" customWidth="1"/>
    <col min="9" max="9" width="22" style="1" customWidth="1"/>
  </cols>
  <sheetData>
    <row r="2" spans="2:8" ht="17.25" customHeight="1">
      <c r="B2" s="2" t="s">
        <v>257</v>
      </c>
    </row>
    <row r="3" spans="2:8" ht="15" customHeight="1">
      <c r="B3" s="3" t="s">
        <v>258</v>
      </c>
    </row>
    <row r="5" spans="2:8" ht="15" customHeight="1">
      <c r="C5" s="5" t="s">
        <v>259</v>
      </c>
      <c r="D5" s="5" t="s">
        <v>260</v>
      </c>
      <c r="E5" s="5" t="s">
        <v>71</v>
      </c>
      <c r="F5" s="5" t="s">
        <v>168</v>
      </c>
      <c r="G5" s="5" t="s">
        <v>192</v>
      </c>
      <c r="H5" s="5" t="s">
        <v>261</v>
      </c>
    </row>
    <row r="6" spans="2:8" ht="15" customHeight="1">
      <c r="B6" s="7" t="s">
        <v>262</v>
      </c>
    </row>
    <row r="7" spans="2:8" ht="15" customHeight="1">
      <c r="B7" s="1" t="s">
        <v>73</v>
      </c>
      <c r="C7" s="1" t="s">
        <v>224</v>
      </c>
      <c r="D7" s="1" t="s">
        <v>224</v>
      </c>
      <c r="E7" s="13">
        <v>85000</v>
      </c>
      <c r="F7" s="15">
        <f>E7*(1-F8)</f>
        <v>80750</v>
      </c>
      <c r="G7" s="15">
        <f>F7*(1-G8)</f>
        <v>74290</v>
      </c>
      <c r="H7" s="15">
        <f>G7*(1-H8)</f>
        <v>70575.5</v>
      </c>
    </row>
    <row r="8" spans="2:8" ht="15" customHeight="1">
      <c r="B8" s="1" t="s">
        <v>263</v>
      </c>
      <c r="C8" s="1" t="s">
        <v>224</v>
      </c>
      <c r="D8" s="1" t="s">
        <v>224</v>
      </c>
      <c r="E8" s="1" t="s">
        <v>224</v>
      </c>
      <c r="F8" s="11">
        <v>0.05</v>
      </c>
      <c r="G8" s="11">
        <v>0.08</v>
      </c>
      <c r="H8" s="11">
        <v>0.05</v>
      </c>
    </row>
    <row r="10" spans="2:8" ht="15" customHeight="1">
      <c r="B10" s="1" t="s">
        <v>264</v>
      </c>
      <c r="C10" s="8">
        <v>5</v>
      </c>
      <c r="D10" s="8">
        <v>7</v>
      </c>
      <c r="E10" s="8">
        <v>14</v>
      </c>
      <c r="F10" s="8">
        <v>21</v>
      </c>
      <c r="G10" s="8">
        <v>45</v>
      </c>
      <c r="H10" s="1" t="s">
        <v>224</v>
      </c>
    </row>
    <row r="11" spans="2:8" ht="15" customHeight="1">
      <c r="B11" s="1" t="s">
        <v>265</v>
      </c>
      <c r="C11" s="11">
        <v>0.35</v>
      </c>
      <c r="D11" s="11">
        <v>0.45</v>
      </c>
      <c r="E11" s="11">
        <v>0.55000000000000004</v>
      </c>
      <c r="F11" s="11">
        <v>0.42</v>
      </c>
      <c r="G11" s="11">
        <v>0.25</v>
      </c>
      <c r="H11" s="1" t="s">
        <v>224</v>
      </c>
    </row>
    <row r="12" spans="2:8" ht="15" customHeight="1">
      <c r="B12" s="1" t="s">
        <v>266</v>
      </c>
      <c r="G12" s="29">
        <f>G11</f>
        <v>0.25</v>
      </c>
    </row>
    <row r="14" spans="2:8" ht="15" customHeight="1">
      <c r="B14" s="7" t="s">
        <v>267</v>
      </c>
    </row>
    <row r="15" spans="2:8" ht="15" customHeight="1">
      <c r="B15" s="1" t="s">
        <v>268</v>
      </c>
      <c r="C15" s="12">
        <f>SUM(C10:G10)</f>
        <v>92</v>
      </c>
    </row>
    <row r="16" spans="2:8" ht="15" customHeight="1">
      <c r="B16" s="1" t="s">
        <v>269</v>
      </c>
      <c r="C16" s="36">
        <f>C11*D11*E11*F11*G11</f>
        <v>9.0956250000000013E-3</v>
      </c>
    </row>
    <row r="17" spans="2:8" ht="15" customHeight="1">
      <c r="B17" s="1" t="s">
        <v>270</v>
      </c>
      <c r="C17" s="12">
        <f>IF(C16=0,0,ROUND(1/C16,0))</f>
        <v>110</v>
      </c>
    </row>
    <row r="19" spans="2:8" ht="15" customHeight="1">
      <c r="B19" s="7" t="s">
        <v>271</v>
      </c>
    </row>
    <row r="20" spans="2:8" ht="15" customHeight="1">
      <c r="B20" s="1" t="s">
        <v>272</v>
      </c>
      <c r="C20" s="13">
        <v>2500000</v>
      </c>
    </row>
    <row r="21" spans="2:8" ht="15" customHeight="1">
      <c r="B21" s="1" t="s">
        <v>273</v>
      </c>
      <c r="C21" s="12">
        <f>IF(H7=0,0,ROUND(C20/H7,0))</f>
        <v>35</v>
      </c>
    </row>
    <row r="22" spans="2:8" ht="15" customHeight="1">
      <c r="B22" s="1" t="s">
        <v>274</v>
      </c>
      <c r="C22" s="12">
        <f>C21*C17</f>
        <v>3850</v>
      </c>
    </row>
    <row r="23" spans="2:8" ht="15" customHeight="1">
      <c r="B23" s="1" t="s">
        <v>275</v>
      </c>
      <c r="C23" s="12">
        <f>ROUND(C22/12,0)</f>
        <v>321</v>
      </c>
    </row>
    <row r="25" spans="2:8" ht="15" customHeight="1">
      <c r="B25" s="7" t="s">
        <v>276</v>
      </c>
    </row>
    <row r="26" spans="2:8" ht="15" customHeight="1">
      <c r="E26" s="5" t="s">
        <v>277</v>
      </c>
      <c r="F26" s="5" t="s">
        <v>278</v>
      </c>
      <c r="G26" s="5" t="s">
        <v>279</v>
      </c>
      <c r="H26" s="5" t="s">
        <v>280</v>
      </c>
    </row>
    <row r="27" spans="2:8" ht="15" customHeight="1">
      <c r="B27" s="1" t="s">
        <v>242</v>
      </c>
      <c r="G27" s="15">
        <f>C21*H7</f>
        <v>2470142.5</v>
      </c>
    </row>
    <row r="28" spans="2:8" ht="15" customHeight="1">
      <c r="B28" s="1" t="s">
        <v>281</v>
      </c>
      <c r="E28" s="37">
        <v>0.25</v>
      </c>
      <c r="F28" s="37">
        <v>0.3</v>
      </c>
      <c r="G28" s="15">
        <f>ROUND(C20/(E7*(1-F8)*(1-G8)*(1-H8)*F28)*F28*(E7*(1-F8)*(1-G8)*(1-H8)),0)</f>
        <v>2500000</v>
      </c>
      <c r="H28" s="15">
        <f>G28-G27</f>
        <v>29857.5</v>
      </c>
    </row>
    <row r="31" spans="2:8" ht="15" customHeight="1">
      <c r="B31" s="7" t="s">
        <v>282</v>
      </c>
    </row>
    <row r="32" spans="2:8" ht="15" customHeight="1">
      <c r="C32" s="5" t="s">
        <v>55</v>
      </c>
      <c r="D32" s="5" t="s">
        <v>56</v>
      </c>
      <c r="E32" s="5" t="s">
        <v>57</v>
      </c>
    </row>
    <row r="33" spans="2:6" ht="15" customHeight="1">
      <c r="B33" s="1" t="s">
        <v>283</v>
      </c>
      <c r="C33" s="13">
        <v>150000</v>
      </c>
      <c r="D33" s="13">
        <v>500000</v>
      </c>
      <c r="E33" s="13">
        <v>900000</v>
      </c>
      <c r="F33" s="9" t="s">
        <v>284</v>
      </c>
    </row>
    <row r="34" spans="2:6" ht="15" customHeight="1">
      <c r="B34" s="1" t="s">
        <v>285</v>
      </c>
      <c r="C34" s="8">
        <v>20</v>
      </c>
      <c r="D34" s="8">
        <v>40</v>
      </c>
      <c r="E34" s="8">
        <v>60</v>
      </c>
    </row>
    <row r="36" spans="2:6" ht="15" customHeight="1">
      <c r="B36" s="7" t="s">
        <v>286</v>
      </c>
    </row>
    <row r="37" spans="2:6" ht="15" customHeight="1">
      <c r="C37" s="5" t="s">
        <v>55</v>
      </c>
      <c r="D37" s="5" t="s">
        <v>56</v>
      </c>
      <c r="E37" s="5" t="s">
        <v>57</v>
      </c>
      <c r="F37" s="5" t="s">
        <v>287</v>
      </c>
    </row>
    <row r="38" spans="2:6" ht="15" customHeight="1">
      <c r="B38" s="1" t="s">
        <v>288</v>
      </c>
      <c r="C38" s="15">
        <f>IF(C34=0,0,C33/C34)</f>
        <v>7500</v>
      </c>
      <c r="D38" s="15">
        <f>IF(D34=0,0,D33/D34)</f>
        <v>12500</v>
      </c>
      <c r="E38" s="15">
        <f>IF(E34=0,0,E33/E34)</f>
        <v>15000</v>
      </c>
    </row>
    <row r="39" spans="2:6" ht="15" customHeight="1">
      <c r="B39" s="1" t="s">
        <v>289</v>
      </c>
      <c r="C39" s="18">
        <f>IF(H7=0,0,C38/H7)</f>
        <v>0.10626917272991336</v>
      </c>
      <c r="D39" s="18">
        <f>IF(H7=0,0,D38/H7)</f>
        <v>0.17711528788318892</v>
      </c>
      <c r="E39" s="18">
        <f>IF(H7=0,0,E38/H7)</f>
        <v>0.21253834545982672</v>
      </c>
      <c r="F39" s="9" t="s">
        <v>119</v>
      </c>
    </row>
    <row r="40" spans="2:6" ht="15" customHeight="1">
      <c r="B40" s="1" t="s">
        <v>120</v>
      </c>
      <c r="C40" s="22">
        <f>C39*12</f>
        <v>1.2752300727589603</v>
      </c>
      <c r="D40" s="22">
        <f>D39*12</f>
        <v>2.1253834545982668</v>
      </c>
      <c r="E40" s="22">
        <f>E39*12</f>
        <v>2.5504601455179206</v>
      </c>
      <c r="F40" s="9" t="s">
        <v>121</v>
      </c>
    </row>
    <row r="42" spans="2:6" ht="15" customHeight="1">
      <c r="B42" s="9" t="s">
        <v>290</v>
      </c>
      <c r="C42" s="15">
        <f>E38</f>
        <v>15000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C3E50"/>
  </sheetPr>
  <dimension ref="A2:I35"/>
  <sheetViews>
    <sheetView zoomScaleNormal="100" workbookViewId="0"/>
  </sheetViews>
  <sheetFormatPr defaultColWidth="8.7109375" defaultRowHeight="15"/>
  <cols>
    <col min="1" max="1" width="2" style="1" customWidth="1"/>
    <col min="2" max="2" width="42" style="1" customWidth="1"/>
    <col min="3" max="5" width="18" style="1" customWidth="1"/>
    <col min="6" max="6" width="30" style="1" customWidth="1"/>
    <col min="7" max="7" width="3" style="1" customWidth="1"/>
    <col min="8" max="8" width="18" style="1" customWidth="1"/>
    <col min="9" max="9" width="22" style="1" customWidth="1"/>
  </cols>
  <sheetData>
    <row r="2" spans="2:7" ht="17.25" customHeight="1">
      <c r="B2" s="2" t="s">
        <v>291</v>
      </c>
    </row>
    <row r="3" spans="2:7" ht="15" customHeight="1">
      <c r="B3" s="3" t="s">
        <v>292</v>
      </c>
    </row>
    <row r="5" spans="2:7" ht="15" customHeight="1">
      <c r="C5" s="5" t="s">
        <v>293</v>
      </c>
      <c r="D5" s="5" t="s">
        <v>294</v>
      </c>
      <c r="E5" s="5" t="s">
        <v>295</v>
      </c>
      <c r="F5" s="5" t="s">
        <v>296</v>
      </c>
      <c r="G5" s="5" t="s">
        <v>297</v>
      </c>
    </row>
    <row r="6" spans="2:7" ht="15" customHeight="1">
      <c r="B6" s="7" t="s">
        <v>298</v>
      </c>
    </row>
    <row r="7" spans="2:7" ht="15" customHeight="1">
      <c r="B7" s="1" t="s">
        <v>299</v>
      </c>
      <c r="C7" s="8">
        <v>45</v>
      </c>
      <c r="D7" s="8">
        <v>30</v>
      </c>
      <c r="E7" s="8">
        <v>90</v>
      </c>
      <c r="F7" s="8">
        <v>30</v>
      </c>
      <c r="G7" s="8">
        <v>60</v>
      </c>
    </row>
    <row r="8" spans="2:7" ht="15" customHeight="1">
      <c r="B8" s="1" t="s">
        <v>300</v>
      </c>
      <c r="C8" s="11">
        <v>0.9</v>
      </c>
      <c r="D8" s="11">
        <v>0.85</v>
      </c>
      <c r="E8" s="11">
        <v>0.8</v>
      </c>
      <c r="F8" s="11">
        <v>0.88</v>
      </c>
      <c r="G8" s="11">
        <v>0.3</v>
      </c>
    </row>
    <row r="10" spans="2:7" ht="15" customHeight="1">
      <c r="B10" s="7" t="s">
        <v>301</v>
      </c>
    </row>
    <row r="11" spans="2:7" ht="15" customHeight="1">
      <c r="B11" s="1" t="s">
        <v>302</v>
      </c>
      <c r="C11" s="12">
        <f>C7+D7</f>
        <v>75</v>
      </c>
      <c r="F11" s="9" t="s">
        <v>303</v>
      </c>
    </row>
    <row r="12" spans="2:7" ht="15" customHeight="1">
      <c r="B12" s="1" t="s">
        <v>304</v>
      </c>
      <c r="C12" s="18">
        <f>C8*D8*E8*F8</f>
        <v>0.53856000000000004</v>
      </c>
      <c r="F12" s="9" t="s">
        <v>305</v>
      </c>
    </row>
    <row r="13" spans="2:7" ht="15" customHeight="1">
      <c r="B13" s="1" t="s">
        <v>306</v>
      </c>
      <c r="C13" s="29">
        <f>F8</f>
        <v>0.88</v>
      </c>
      <c r="F13" s="9" t="s">
        <v>307</v>
      </c>
    </row>
    <row r="14" spans="2:7" ht="15" customHeight="1">
      <c r="B14" s="1" t="s">
        <v>308</v>
      </c>
      <c r="C14" s="29">
        <f>G8</f>
        <v>0.3</v>
      </c>
    </row>
    <row r="15" spans="2:7" ht="15" customHeight="1">
      <c r="B15" s="1" t="s">
        <v>309</v>
      </c>
      <c r="C15" s="18">
        <f>C12+(C14*C20/C18)</f>
        <v>0.58956920291035841</v>
      </c>
      <c r="F15" s="9" t="s">
        <v>310</v>
      </c>
    </row>
    <row r="17" spans="2:6" ht="15" customHeight="1">
      <c r="B17" s="7" t="s">
        <v>311</v>
      </c>
    </row>
    <row r="18" spans="2:6" ht="15" customHeight="1">
      <c r="B18" s="1" t="s">
        <v>312</v>
      </c>
      <c r="C18" s="20">
        <f>'Revenue Model'!H7</f>
        <v>70575.5</v>
      </c>
    </row>
    <row r="19" spans="2:6" ht="15" customHeight="1">
      <c r="B19" s="1" t="s">
        <v>313</v>
      </c>
      <c r="C19" s="13">
        <v>40000</v>
      </c>
    </row>
    <row r="20" spans="2:6" ht="15" customHeight="1">
      <c r="B20" s="1" t="s">
        <v>314</v>
      </c>
      <c r="C20" s="15">
        <f>C19*C14</f>
        <v>12000</v>
      </c>
    </row>
    <row r="22" spans="2:6" ht="15" customHeight="1">
      <c r="B22" s="7" t="s">
        <v>315</v>
      </c>
    </row>
    <row r="23" spans="2:6" ht="15" customHeight="1">
      <c r="C23" s="5" t="s">
        <v>316</v>
      </c>
      <c r="D23" s="5" t="s">
        <v>317</v>
      </c>
      <c r="E23" s="5" t="s">
        <v>318</v>
      </c>
      <c r="F23" s="5" t="s">
        <v>319</v>
      </c>
    </row>
    <row r="24" spans="2:6" ht="42.75" customHeight="1">
      <c r="B24" s="1" t="s">
        <v>320</v>
      </c>
      <c r="C24" s="13">
        <v>45000</v>
      </c>
      <c r="D24" s="11">
        <v>0.2</v>
      </c>
      <c r="E24" s="38" t="s">
        <v>321</v>
      </c>
      <c r="F24" s="39" t="s">
        <v>322</v>
      </c>
    </row>
    <row r="25" spans="2:6" ht="42.75" customHeight="1">
      <c r="B25" s="1" t="s">
        <v>323</v>
      </c>
      <c r="C25" s="13">
        <v>30000</v>
      </c>
      <c r="D25" s="11">
        <v>0.25</v>
      </c>
      <c r="E25" s="38" t="s">
        <v>324</v>
      </c>
      <c r="F25" s="39" t="s">
        <v>325</v>
      </c>
    </row>
    <row r="26" spans="2:6" ht="32.25" customHeight="1">
      <c r="B26" s="1" t="s">
        <v>326</v>
      </c>
      <c r="C26" s="13">
        <v>55000</v>
      </c>
      <c r="D26" s="11">
        <v>0.12</v>
      </c>
      <c r="E26" s="38" t="s">
        <v>327</v>
      </c>
      <c r="F26" s="39" t="s">
        <v>328</v>
      </c>
    </row>
    <row r="28" spans="2:6" ht="15" customHeight="1">
      <c r="B28" s="7" t="s">
        <v>329</v>
      </c>
    </row>
    <row r="29" spans="2:6" ht="15" customHeight="1">
      <c r="B29" s="1" t="s">
        <v>330</v>
      </c>
      <c r="C29" s="8">
        <v>3</v>
      </c>
    </row>
    <row r="30" spans="2:6" ht="15" customHeight="1">
      <c r="B30" s="1" t="s">
        <v>331</v>
      </c>
      <c r="C30" s="20">
        <f>C18</f>
        <v>70575.5</v>
      </c>
    </row>
    <row r="31" spans="2:6" ht="15" customHeight="1">
      <c r="B31" s="1" t="s">
        <v>332</v>
      </c>
      <c r="C31" s="15">
        <f>C20</f>
        <v>12000</v>
      </c>
    </row>
    <row r="32" spans="2:6" ht="15" customHeight="1">
      <c r="B32" s="1" t="s">
        <v>333</v>
      </c>
      <c r="C32" s="15">
        <f>C18*C13</f>
        <v>62106.44</v>
      </c>
    </row>
    <row r="33" spans="2:6" ht="15" customHeight="1">
      <c r="B33" s="1" t="s">
        <v>334</v>
      </c>
      <c r="C33" s="15">
        <f>C20</f>
        <v>12000</v>
      </c>
    </row>
    <row r="35" spans="2:6" ht="15" customHeight="1">
      <c r="B35" s="5" t="s">
        <v>335</v>
      </c>
      <c r="C35" s="15">
        <f>C30+C31+(C32+C33)*(C29-1)</f>
        <v>230788.38</v>
      </c>
      <c r="F35" s="9" t="s">
        <v>336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Kelly Pronek</cp:lastModifiedBy>
  <cp:revision>0</cp:revision>
  <dcterms:created xsi:type="dcterms:W3CDTF">2026-03-31T17:59:50Z</dcterms:created>
  <dcterms:modified xsi:type="dcterms:W3CDTF">2026-03-31T22:08:23Z</dcterms:modified>
  <cp:category/>
  <cp:contentStatus/>
</cp:coreProperties>
</file>